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120" yWindow="-120" windowWidth="19440" windowHeight="11520"/>
  </bookViews>
  <sheets>
    <sheet name="SMD" sheetId="2" r:id="rId1"/>
    <sheet name="PTH" sheetId="3" r:id="rId6"/>
    <sheet name="BOTTOM"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<sst xmlns="http://schemas.openxmlformats.org/spreadsheetml/2006/main" count="63" uniqueCount="63">
  <si>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HONG FU JIN PRECISION INDUSTRY(WUHAN) CO.,LTD</t>
  </si>
  <si>
    <t>Item</t>
  </si>
  <si>
    <t>HF PN</t>
  </si>
  <si>
    <t>STD PN</t>
  </si>
  <si>
    <t>Supplier</t>
  </si>
  <si>
    <t>Supplier PN</t>
  </si>
  <si>
    <t>BILL    OF   MATERIAL</t>
  </si>
  <si>
    <t>Model A</t>
  </si>
  <si>
    <t>Model B</t>
  </si>
  <si>
    <t>Model C</t>
  </si>
  <si>
    <t>Model D</t>
  </si>
  <si>
    <t>Model E</t>
  </si>
  <si>
    <t>Model F</t>
  </si>
  <si>
    <t>Model G</t>
  </si>
  <si>
    <t>Description</t>
  </si>
  <si>
    <t>Qty</t>
  </si>
  <si>
    <t>Location</t>
  </si>
  <si>
    <t>Total Q'ty</t>
  </si>
  <si>
    <t>Total Set</t>
  </si>
  <si>
    <t/>
  </si>
  <si>
    <t>Remark</t>
  </si>
  <si>
    <t>52170MR00-940-G</t>
  </si>
  <si>
    <t>TVS,Ir(max)=1uA,Vc(typ)=10V,Vrwm(max)=5V,Vbr(min)=6V,20KV(air),15KV(contact),SOD523-2P,SMD,ROHS,HF</t>
  </si>
  <si>
    <t>AMAZING</t>
  </si>
  <si>
    <t>AZ5125-01H.R7G</t>
  </si>
  <si>
    <t>AD1</t>
  </si>
  <si>
    <t>611209V00-092-H</t>
  </si>
  <si>
    <t>Variable,Vrms=4V,Vdc=5.5V,Vv=9~19V,C=100pF,SMD0402,ROHS,HF</t>
  </si>
  <si>
    <t>INPAQ</t>
  </si>
  <si>
    <t>VPORT0402L101V05</t>
  </si>
  <si>
    <t>Phase: {{.Phase}}</t>
    <phoneticPr fontId="11" type="noConversion"/>
  </si>
  <si>
    <t>BOM Version: {{.Version}}</t>
    <phoneticPr fontId="11" type="noConversion"/>
  </si>
  <si>
    <t>Product Code: {{.ProjectCode}}</t>
    <phoneticPr fontId="11" type="noConversion"/>
  </si>
  <si>
    <t>Description: {{.Description}}</t>
    <phoneticPr fontId="11" type="noConversion"/>
  </si>
  <si>
    <t>Schematic Version: {{.SchematicVersion}}</t>
    <phoneticPr fontId="11" type="noConversion"/>
  </si>
  <si>
    <t>PCB Version: {{.PCBVersion}}</t>
    <phoneticPr fontId="11" type="noConversion"/>
  </si>
  <si>
    <t>PCA PN: {{.PCAPN}}</t>
    <phoneticPr fontId="11" type="noConversion"/>
  </si>
  <si>
    <t>Date: {{.Date}}</t>
    <phoneticPr fontId="11" type="noConversion"/>
  </si>
  <si>
    <t>{{.ModelQtyA}}</t>
    <phoneticPr fontId="11" type="noConversion"/>
  </si>
  <si>
    <t>{{.ModelQtyB}}</t>
    <phoneticPr fontId="11" type="noConversion"/>
  </si>
  <si>
    <t>{{.ModelQtyC}}</t>
    <phoneticPr fontId="11" type="noConversion"/>
  </si>
  <si>
    <t>{{.ModelQtyD}}</t>
    <phoneticPr fontId="11" type="noConversion"/>
  </si>
  <si>
    <t>{{.ModelQtyE}}</t>
    <phoneticPr fontId="11" type="noConversion"/>
  </si>
  <si>
    <t>{{.ModelQtyF}}</t>
    <phoneticPr fontId="11" type="noConversion"/>
  </si>
  <si>
    <t>{{.ModelQtyG}}</t>
    <phoneticPr fontId="11" type="noConversion"/>
  </si>
  <si>
    <t>AJ1,AU2</t>
    <phoneticPr fontId="11" type="noConversion"/>
  </si>
  <si>
    <t>Product Code: PROJ_ORDER</t>
  </si>
  <si>
    <t xml:space="preserve">Schematic Version: </t>
  </si>
  <si>
    <t xml:space="preserve">PCB Version: </t>
  </si>
  <si>
    <t>BOM Version: 0.1</t>
  </si>
  <si>
    <t>Phase: EVT</t>
  </si>
  <si>
    <t xml:space="preserve">Description: </t>
  </si>
  <si>
    <t xml:space="preserve">PCA PN: </t>
  </si>
  <si>
    <t>Date: 20260809</t>
  </si>
  <si>
    <t>3</t>
  </si>
  <si>
    <t>5</t>
  </si>
  <si>
    <t>7</t>
  </si>
  <si>
    <t>1</t>
  </si>
  <si>
    <t>MAIN_PN_01</t>
  </si>
  <si>
    <t>Resistor 100K</t>
  </si>
  <si>
    <t>YAGEO</t>
  </si>
  <si>
    <t>R100K</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</si>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</sst>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新細明體"/>
      <family val="2"/>
      <color indexed="8"/>
      <sz val="11"/>
      <scheme val="minor"/>
    </font>
    <font>
      <name val="Calibri"/>
      <family val="2"/>
      <b val="1"/>
      <sz val="8"/>
    </font>
    <font>
      <name val="Calibri"/>
      <family val="2"/>
      <b val="1"/>
      <color indexed="9"/>
      <sz val="8"/>
    </font>
    <font>
      <name val="Calibri"/>
      <family val="2"/>
      <b val="1"/>
      <color indexed="9"/>
      <sz val="10"/>
    </font>
    <font>
      <name val="Calibri"/>
      <family val="2"/>
      <b val="1"/>
      <sz val="8"/>
    </font>
    <font>
      <name val="Calibri"/>
      <family val="2"/>
      <b val="1"/>
      <color indexed="9"/>
      <sz val="8"/>
    </font>
    <font>
      <name val="Calibri"/>
      <family val="2"/>
      <b val="1"/>
      <color indexed="9"/>
      <sz val="8"/>
    </font>
    <font>
      <name val="Calibri"/>
      <family val="2"/>
      <sz val="8"/>
    </font>
    <font>
      <name val="Calibri"/>
      <family val="2"/>
      <sz val="8"/>
    </font>
    <font>
      <name val="Calibri"/>
      <family val="2"/>
      <sz val="8"/>
    </font>
    <font>
      <name val="Calibri"/>
      <family val="2"/>
      <sz val="8"/>
    </font>
    <font>
      <name val="新細明體"/>
      <charset val="136"/>
      <family val="3"/>
      <sz val="9"/>
      <scheme val="minor"/>
    </font>
    <font>
      <name val="Calibri"/>
      <family val="2"/>
      <sz val="8"/>
    </font>
  </fonts>
  <fills count="6">
    <fill>
      <patternFill patternType="none"/>
    </fill>
    <fill>
      <patternFill patternType="gray125"/>
    </fill>
    <fill>
      <patternFill patternType="solid">
        <fgColor indexed="8"/>
      </patternFill>
    </fill>
    <fill>
      <patternFill patternType="solid">
        <fgColor indexed="9"/>
      </patternFill>
    </fill>
    <fill>
      <patternFill patternType="solid">
        <fgColor indexed="55"/>
      </patternFill>
    </fill>
    <fill>
      <patternFill patternType="solid">
        <fgColor indexed="26"/>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3" borderId="0" xfId="0" applyFont="true" applyFill="true" applyAlignment="true">
      <alignment horizontal="left" vertical="center"/>
    </xf>
    <xf numFmtId="0" fontId="2" fillId="4" borderId="1" xfId="0" applyFont="true" applyFill="true" applyBorder="true" applyAlignment="true">
      <alignment horizontal="center" vertical="center" wrapText="true"/>
    </xf>
    <xf numFmtId="0" fontId="4" fillId="3" borderId="0" xfId="0" applyFont="true" applyFill="true" applyAlignment="true">
      <alignment horizontal="left" vertical="center"/>
    </xf>
    <xf numFmtId="0" fontId="5" fillId="4" borderId="1"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7" fillId="0" borderId="1" xfId="0" applyFont="true" applyBorder="true" applyAlignment="true">
      <alignment horizontal="center" vertical="center" wrapText="true"/>
    </xf>
    <xf numFmtId="0" fontId="8" fillId="5" borderId="1" xfId="0" applyFont="true" applyFill="true" applyBorder="true" applyAlignment="true">
      <alignment horizontal="center" vertical="center" wrapText="true"/>
    </xf>
    <xf numFmtId="0" fontId="9" fillId="0" borderId="1" xfId="0" applyFont="true" applyBorder="true" applyAlignment="true">
      <alignment horizontal="left" vertical="center" wrapText="true"/>
    </xf>
    <xf numFmtId="0" fontId="10" fillId="5" borderId="1" xfId="0" applyFont="true" applyFill="true" applyBorder="true" applyAlignment="true">
      <alignment horizontal="left" vertical="center" wrapText="true"/>
    </xf>
    <xf numFmtId="0" fontId="0" fillId="0" borderId="0" xfId="0" applyAlignment="true"/>
    <xf numFmtId="0" fontId="9" fillId="0" borderId="1" xfId="0" applyFont="true" applyBorder="true" applyAlignment="true">
      <alignment horizontal="left" vertical="center"/>
    </xf>
    <xf numFmtId="0" fontId="9" fillId="0" borderId="1" xfId="0" applyFont="true" applyBorder="true" applyAlignment="true">
      <alignment horizontal="center" vertical="center" wrapText="true"/>
    </xf>
    <xf numFmtId="0" fontId="10" fillId="5" borderId="1" xfId="0" applyFont="true" applyFill="true" applyBorder="true" applyAlignment="true">
      <alignment horizontal="center" vertical="center" wrapText="true"/>
    </xf>
    <xf numFmtId="0" fontId="12" fillId="0" borderId="1" xfId="0" applyFont="true" applyBorder="true" applyAlignment="true">
      <alignment horizontal="center" vertical="center" wrapText="true"/>
    </xf>
    <xf numFmtId="0" fontId="12" fillId="5" borderId="1" xfId="0" applyFont="true" applyFill="true" applyBorder="true" applyAlignment="true">
      <alignment horizontal="center" vertical="center" wrapText="true"/>
    </xf>
    <xf numFmtId="0" fontId="3" fillId="2" borderId="0" xfId="0" applyFont="true" applyFill="true" applyAlignment="true">
      <alignment horizontal="center" vertical="center" wrapText="true"/>
    </xf>
    <xf numFmtId="0" fontId="0" fillId="0" borderId="0" xfId="0">
      <alignment vertical="center"/>
    </xf>
    <xf numFmtId="0" fontId="7" fillId="5" borderId="1" xfId="0" applyFont="true" applyFill="true" applyBorder="true" applyAlignment="true">
      <alignment horizontal="left" vertical="center"/>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tabSelected="true"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3</v>
      </c>
      <c r="L5" s="2">
        <v>5</v>
      </c>
      <c r="M5" s="2">
        <v>7</v>
      </c>
      <c r="N5" s="2" t="s">
        <v>19</v>
      </c>
      <c r="O5" s="2" t="s">
        <v>19</v>
      </c>
      <c r="P5" s="2" t="s">
        <v>19</v>
      </c>
      <c r="Q5" s="2" t="s">
        <v>19</v>
      </c>
      <c r="R5" s="4" t="s">
        <v>20</v>
      </c>
    </row>
    <row r="6" spans="1:18" ht="33.75">
      <c r="A6" s="6" t="s">
        <v>57</v>
      </c>
      <c r="B6" s="8" t="s">
        <v>58</v>
      </c>
      <c r="C6" s="8"/>
      <c r="D6" s="8" t="s">
        <v>59</v>
      </c>
      <c r="E6" s="8" t="s">
        <v>60</v>
      </c>
      <c r="F6" s="8" t="s">
        <v>61</v>
      </c>
      <c r="G6" s="6">
        <v>2</v>
      </c>
      <c r="H6" s="11" t="s">
        <v>19</v>
      </c>
      <c r="I6" s="12" t="str">
        <f>=G6*J6</f>
      </c>
      <c r="J6" s="12" t="str">
        <f>IF(EXACT(K6,"V"),K$5,0)+IF(EXACT(L6,"V"),L$5,0)+IF(EXACT(M6,"V"),M$5,0)+IF(EXACT(N6,"V"),N$5,0)+IF(EXACT(O6,"V"),O$5,0)+IF(EXACT(P6,"V"),P$5,0)+IF(EXACT(Q6,"V"),Q$5,0)</f>
      </c>
      <c r="K6" s="14" t="s">
        <v>62</v>
      </c>
      <c r="L6" s="14" t="s">
        <v>62</v>
      </c>
      <c r="M6" s="14" t="s">
        <v>62</v>
      </c>
      <c r="N6" s="14" t="s">
        <v>19</v>
      </c>
      <c r="O6" s="14" t="s">
        <v>19</v>
      </c>
      <c r="P6" s="14" t="s">
        <v>19</v>
      </c>
      <c r="Q6" s="14" t="s">
        <v>19</v>
      </c>
      <c r="R6" s="12"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3</v>
      </c>
      <c r="L5" s="2">
        <v>5</v>
      </c>
      <c r="M5" s="2">
        <v>7</v>
      </c>
      <c r="N5" s="2" t="s">
        <v>19</v>
      </c>
      <c r="O5" s="2" t="s">
        <v>19</v>
      </c>
      <c r="P5" s="2" t="s">
        <v>19</v>
      </c>
      <c r="Q5" s="2" t="s">
        <v>19</v>
      </c>
      <c r="R5" s="4" t="s">
        <v>20</v>
      </c>
    </row>
    <row r="6" spans="1:18" ht="33.75">
      <c r="A6" s="6"/>
      <c r="B6" s="8"/>
      <c r="C6" s="8"/>
      <c r="D6" s="8"/>
      <c r="E6" s="8"/>
      <c r="F6" s="8"/>
      <c r="G6" s="6"/>
      <c r="H6" s="11"/>
      <c r="I6" s="12"/>
      <c r="J6" s="12"/>
      <c r="K6" s="14"/>
      <c r="L6" s="12" t="s">
        <v>19</v>
      </c>
      <c r="M6" s="12" t="s">
        <v>19</v>
      </c>
      <c r="N6" s="12" t="s">
        <v>19</v>
      </c>
      <c r="O6" s="12" t="s">
        <v>19</v>
      </c>
      <c r="P6" s="12" t="s">
        <v>19</v>
      </c>
      <c r="Q6" s="12" t="s">
        <v>19</v>
      </c>
      <c r="R6" s="8"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3</v>
      </c>
      <c r="L5" s="2">
        <v>5</v>
      </c>
      <c r="M5" s="2">
        <v>7</v>
      </c>
      <c r="N5" s="2" t="s">
        <v>19</v>
      </c>
      <c r="O5" s="2" t="s">
        <v>19</v>
      </c>
      <c r="P5" s="2" t="s">
        <v>19</v>
      </c>
      <c r="Q5" s="2" t="s">
        <v>19</v>
      </c>
      <c r="R5" s="4" t="s">
        <v>20</v>
      </c>
    </row>
    <row r="6" spans="1:18" ht="33.75">
      <c r="A6" s="6"/>
      <c r="B6" s="8"/>
      <c r="C6" s="8"/>
      <c r="D6" s="8"/>
      <c r="E6" s="8"/>
      <c r="F6" s="8"/>
      <c r="G6" s="6"/>
      <c r="H6" s="11"/>
      <c r="I6" s="12"/>
      <c r="J6" s="12"/>
      <c r="K6" s="14"/>
      <c r="L6" s="12" t="s">
        <v>19</v>
      </c>
      <c r="M6" s="12" t="s">
        <v>19</v>
      </c>
      <c r="N6" s="12" t="s">
        <v>19</v>
      </c>
      <c r="O6" s="12" t="s">
        <v>19</v>
      </c>
      <c r="P6" s="12" t="s">
        <v>19</v>
      </c>
      <c r="Q6" s="12" t="s">
        <v>19</v>
      </c>
      <c r="R6" s="8"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Gaven Huang (黃嘉文)</cp:lastModifiedBy>
  <dcterms:created xsi:type="dcterms:W3CDTF">2026-07-22T07:47:01Z</dcterms:created>
  <dcterms:modified xsi:type="dcterms:W3CDTF">2026-08-07T11:03:03Z</dcterms:modified>
</cp:coreProperties>
</file>