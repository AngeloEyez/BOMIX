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gramming\BOMIX\bomix-app\backend\excel\template\"/>
    </mc:Choice>
  </mc:AlternateContent>
  <xr:revisionPtr revIDLastSave="0" documentId="13_ncr:1_{7A273F58-DEB0-4BA9-A8AD-1B1A711EC2F3}" xr6:coauthVersionLast="47" xr6:coauthVersionMax="47" xr10:uidLastSave="{00000000-0000-0000-0000-000000000000}"/>
  <bookViews>
    <workbookView xWindow="13440" yWindow="2412" windowWidth="22776" windowHeight="20400" xr2:uid="{00000000-000D-0000-FFFF-FFFF00000000}"/>
  </bookViews>
  <sheets>
    <sheet name="SM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I7" i="2" s="1"/>
  <c r="J6" i="2"/>
  <c r="I6" i="2" s="1"/>
</calcChain>
</file>

<file path=xl/sharedStrings.xml><?xml version="1.0" encoding="utf-8"?>
<sst xmlns="http://schemas.openxmlformats.org/spreadsheetml/2006/main" count="61" uniqueCount="47">
  <si>
    <t>HONG FU JIN PRECISION INDUSTRY(WUHAN) CO.,LTD</t>
  </si>
  <si>
    <t>Item</t>
  </si>
  <si>
    <t>HF PN</t>
  </si>
  <si>
    <t>STD PN</t>
  </si>
  <si>
    <t>Supplier</t>
  </si>
  <si>
    <t>Supplier PN</t>
  </si>
  <si>
    <t>BILL    OF   MATERIAL</t>
  </si>
  <si>
    <t>Model A</t>
  </si>
  <si>
    <t>Model B</t>
  </si>
  <si>
    <t>Model C</t>
  </si>
  <si>
    <t>Model D</t>
  </si>
  <si>
    <t>Model E</t>
  </si>
  <si>
    <t>Model F</t>
  </si>
  <si>
    <t>Model G</t>
  </si>
  <si>
    <t>Description</t>
  </si>
  <si>
    <t>Qty</t>
  </si>
  <si>
    <t>Location</t>
  </si>
  <si>
    <t>Total Q'ty</t>
  </si>
  <si>
    <t>Total Set</t>
  </si>
  <si>
    <t/>
  </si>
  <si>
    <t>Remark</t>
  </si>
  <si>
    <t>52170MR00-940-G</t>
  </si>
  <si>
    <t>TVS,Ir(max)=1uA,Vc(typ)=10V,Vrwm(max)=5V,Vbr(min)=6V,20KV(air),15KV(contact),SOD523-2P,SMD,ROHS,HF</t>
  </si>
  <si>
    <t>AMAZING</t>
  </si>
  <si>
    <t>AZ5125-01H.R7G</t>
  </si>
  <si>
    <t>AD1</t>
  </si>
  <si>
    <t>611209V00-092-H</t>
  </si>
  <si>
    <t>Variable,Vrms=4V,Vdc=5.5V,Vv=9~19V,C=100pF,SMD0402,ROHS,HF</t>
  </si>
  <si>
    <t>INPAQ</t>
  </si>
  <si>
    <t>VPORT0402L101V05</t>
  </si>
  <si>
    <t>AD2,AD3,AD4,AD5,AD6,AD7</t>
  </si>
  <si>
    <t>V</t>
    <phoneticPr fontId="11" type="noConversion"/>
  </si>
  <si>
    <t>Phase: {{.Phase}}</t>
    <phoneticPr fontId="11" type="noConversion"/>
  </si>
  <si>
    <t>BOM Version: {{.Version}}</t>
    <phoneticPr fontId="11" type="noConversion"/>
  </si>
  <si>
    <t>Product Code: {{.ProjectCode}}</t>
    <phoneticPr fontId="11" type="noConversion"/>
  </si>
  <si>
    <t>Description: {{.Description}}</t>
    <phoneticPr fontId="11" type="noConversion"/>
  </si>
  <si>
    <t>Schematic Version: {{.SchematicVersion}}</t>
    <phoneticPr fontId="11" type="noConversion"/>
  </si>
  <si>
    <t>PCB Version: {{.PCBVersion}}</t>
    <phoneticPr fontId="11" type="noConversion"/>
  </si>
  <si>
    <t>PCA PN: {{.PCAPN}}</t>
    <phoneticPr fontId="11" type="noConversion"/>
  </si>
  <si>
    <t>Date: {{.Date}}</t>
    <phoneticPr fontId="11" type="noConversion"/>
  </si>
  <si>
    <t>{{.ModelQtyA}}</t>
    <phoneticPr fontId="11" type="noConversion"/>
  </si>
  <si>
    <t>{{.ModelQtyB}}</t>
    <phoneticPr fontId="11" type="noConversion"/>
  </si>
  <si>
    <t>{{.ModelQtyC}}</t>
    <phoneticPr fontId="11" type="noConversion"/>
  </si>
  <si>
    <t>{{.ModelQtyD}}</t>
    <phoneticPr fontId="11" type="noConversion"/>
  </si>
  <si>
    <t>{{.ModelQtyE}}</t>
    <phoneticPr fontId="11" type="noConversion"/>
  </si>
  <si>
    <t>{{.ModelQtyF}}</t>
    <phoneticPr fontId="11" type="noConversion"/>
  </si>
  <si>
    <t>{{.ModelQtyG}}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</si>
</sst>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indexed="8"/>
      <name val="新細明體"/>
      <family val="2"/>
      <scheme val="minor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10"/>
      <color indexed="9"/>
      <name val="Calibri"/>
      <family val="2"/>
    </font>
    <font>
      <b/>
      <sz val="8"/>
      <name val="Calibri"/>
      <family val="2"/>
    </font>
    <font>
      <b/>
      <sz val="8"/>
      <color indexed="9"/>
      <name val="Calibri"/>
      <family val="2"/>
    </font>
    <font>
      <b/>
      <sz val="8"/>
      <color indexed="9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8"/>
      <name val="Calibri"/>
      <family val="2"/>
    </font>
    <font>
      <sz val="9"/>
      <name val="新細明體"/>
      <family val="3"/>
      <charset val="136"/>
      <scheme val="minor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0" fillId="0" borderId="0" xfId="0" applyAlignment="1"/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tabSelected="1" workbookViewId="0">
      <selection activeCell="Q6" sqref="Q6"/>
    </sheetView>
  </sheetViews>
  <sheetFormatPr defaultRowHeight="15" x14ac:dyDescent="0.3"/>
  <cols>
    <col min="1" max="1" width="5" customWidth="1"/>
    <col min="2" max="3" width="14" customWidth="1"/>
    <col min="4" max="4" width="36" customWidth="1"/>
    <col min="5" max="5" width="15" customWidth="1"/>
    <col min="6" max="6" width="20" customWidth="1"/>
    <col min="7" max="7" width="5" customWidth="1"/>
    <col min="8" max="8" width="23.25" customWidth="1"/>
    <col min="9" max="9" width="6.875" bestFit="1" customWidth="1"/>
    <col min="10" max="10" width="8.375" bestFit="1" customWidth="1"/>
    <col min="11" max="18" width="6" customWidth="1"/>
  </cols>
  <sheetData>
    <row r="1" spans="1:18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">
      <c r="A2" s="14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3"/>
      <c r="B3" s="1" t="s">
        <v>34</v>
      </c>
      <c r="C3" s="3"/>
      <c r="D3" s="1" t="s">
        <v>36</v>
      </c>
      <c r="E3" s="3"/>
      <c r="F3" s="1" t="s">
        <v>37</v>
      </c>
      <c r="G3" s="3"/>
      <c r="H3" s="1" t="s">
        <v>33</v>
      </c>
      <c r="I3" s="3"/>
      <c r="J3" s="1" t="s">
        <v>32</v>
      </c>
      <c r="K3" s="3"/>
      <c r="L3" s="3"/>
      <c r="M3" s="3"/>
      <c r="N3" s="3"/>
      <c r="O3" s="3"/>
      <c r="P3" s="3"/>
      <c r="Q3" s="3"/>
      <c r="R3" s="3"/>
    </row>
    <row r="4" spans="1:18" ht="20.399999999999999" x14ac:dyDescent="0.3">
      <c r="A4" s="3"/>
      <c r="B4" s="1" t="s">
        <v>35</v>
      </c>
      <c r="C4" s="3"/>
      <c r="D4" s="3"/>
      <c r="E4" s="3"/>
      <c r="F4" s="1" t="s">
        <v>38</v>
      </c>
      <c r="G4" s="3"/>
      <c r="H4" s="1" t="s">
        <v>39</v>
      </c>
      <c r="I4" s="3"/>
      <c r="J4" s="3"/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3"/>
    </row>
    <row r="5" spans="1:18" ht="20.399999999999999" x14ac:dyDescent="0.3">
      <c r="A5" s="4" t="s">
        <v>1</v>
      </c>
      <c r="B5" s="4" t="s">
        <v>2</v>
      </c>
      <c r="C5" s="4" t="s">
        <v>3</v>
      </c>
      <c r="D5" s="4" t="s">
        <v>14</v>
      </c>
      <c r="E5" s="4" t="s">
        <v>4</v>
      </c>
      <c r="F5" s="4" t="s">
        <v>5</v>
      </c>
      <c r="G5" s="4" t="s">
        <v>15</v>
      </c>
      <c r="H5" s="4" t="s">
        <v>16</v>
      </c>
      <c r="I5" s="4" t="s">
        <v>17</v>
      </c>
      <c r="J5" s="4" t="s">
        <v>18</v>
      </c>
      <c r="K5" s="2" t="s">
        <v>40</v>
      </c>
      <c r="L5" s="2" t="s">
        <v>41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46</v>
      </c>
      <c r="R5" s="4" t="s">
        <v>20</v>
      </c>
    </row>
    <row r="6" spans="1:18" ht="30.6" x14ac:dyDescent="0.3">
      <c r="A6" s="6">
        <v>42</v>
      </c>
      <c r="B6" s="8" t="s">
        <v>21</v>
      </c>
      <c r="C6" s="8"/>
      <c r="D6" s="8" t="s">
        <v>22</v>
      </c>
      <c r="E6" s="8" t="s">
        <v>23</v>
      </c>
      <c r="F6" s="8" t="s">
        <v>24</v>
      </c>
      <c r="G6" s="6">
        <v>1</v>
      </c>
      <c r="H6" s="8" t="s">
        <v>25</v>
      </c>
      <c r="I6" s="8" t="e">
        <f t="shared" ref="I6:I7" si="0">G6*J6</f>
        <v>#VALUE!</v>
      </c>
      <c r="J6" s="8" t="e">
        <f t="shared" ref="J6:J7" si="1">IF(EXACT(K6,"V"),$K$5,0)+IF(EXACT(L6,"V"),$L$5,0)+IF(EXACT(M6,"V"),$M$5,0)+IF(EXACT(N6,"V"),$N$5,0)+IF(EXACT(O6,"V"),$O$5,0)+IF(EXACT(P6,"V"),$P$5,0)+IF(EXACT(Q6,"V"),$Q$5,0)</f>
        <v>#VALUE!</v>
      </c>
      <c r="K6" s="10" t="s">
        <v>31</v>
      </c>
      <c r="L6" s="8" t="s">
        <v>19</v>
      </c>
      <c r="M6" s="8" t="s">
        <v>19</v>
      </c>
      <c r="N6" s="8" t="s">
        <v>19</v>
      </c>
      <c r="O6" s="8" t="s">
        <v>19</v>
      </c>
      <c r="P6" s="8" t="s">
        <v>19</v>
      </c>
      <c r="Q6" s="8" t="s">
        <v>19</v>
      </c>
      <c r="R6" s="8" t="s">
        <v>19</v>
      </c>
    </row>
    <row r="7" spans="1:18" ht="20.399999999999999" x14ac:dyDescent="0.3">
      <c r="A7" s="7">
        <v>43</v>
      </c>
      <c r="B7" s="9" t="s">
        <v>26</v>
      </c>
      <c r="C7" s="9"/>
      <c r="D7" s="9" t="s">
        <v>27</v>
      </c>
      <c r="E7" s="9" t="s">
        <v>28</v>
      </c>
      <c r="F7" s="9" t="s">
        <v>29</v>
      </c>
      <c r="G7" s="7">
        <v>6</v>
      </c>
      <c r="H7" s="9" t="s">
        <v>30</v>
      </c>
      <c r="I7" s="9" t="e">
        <f t="shared" si="0"/>
        <v>#VALUE!</v>
      </c>
      <c r="J7" s="9" t="e">
        <f t="shared" si="1"/>
        <v>#VALUE!</v>
      </c>
      <c r="K7" s="11" t="s">
        <v>31</v>
      </c>
      <c r="L7" s="9" t="s">
        <v>19</v>
      </c>
      <c r="M7" s="9" t="s">
        <v>19</v>
      </c>
      <c r="N7" s="9" t="s">
        <v>19</v>
      </c>
      <c r="O7" s="9" t="s">
        <v>19</v>
      </c>
      <c r="P7" s="9" t="s">
        <v>19</v>
      </c>
      <c r="Q7" s="9" t="s">
        <v>19</v>
      </c>
      <c r="R7" s="9" t="s">
        <v>19</v>
      </c>
    </row>
    <row r="8" spans="1:18" x14ac:dyDescent="0.3">
      <c r="K8" s="12"/>
      <c r="L8" s="12"/>
      <c r="M8" s="12"/>
    </row>
  </sheetData>
  <mergeCells count="2">
    <mergeCell ref="A1:R1"/>
    <mergeCell ref="A2:R2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Gaven Huang (黃嘉文)</cp:lastModifiedBy>
  <dcterms:created xsi:type="dcterms:W3CDTF">2026-07-22T07:47:01Z</dcterms:created>
  <dcterms:modified xsi:type="dcterms:W3CDTF">2026-08-05T05:51:30Z</dcterms:modified>
</cp:coreProperties>
</file>