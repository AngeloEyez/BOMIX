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Z:\Programming\BOMIX\bomix-app\backend\excel\template\"/>
    </mc:Choice>
  </mc:AlternateContent>
  <bookViews>
    <workbookView xWindow="2040" yWindow="2712" windowWidth="22152" windowHeight="20400"/>
  </bookViews>
  <sheets>
    <sheet name="SMD" sheetId="2" r:id="rId1"/>
    <sheet name="PTH" sheetId="3" r:id="rId6"/>
    <sheet name="BOTTOM" sheetId="4"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<sst xmlns="http://schemas.openxmlformats.org/spreadsheetml/2006/main" count="63" uniqueCount="63">
  <si>
    <t>HONG FU JIN PRECISION INDUSTRY(WUHAN) CO.,LTD</t>
  </si>
  <si>
    <t>Item</t>
  </si>
  <si>
    <t>HF PN</t>
  </si>
  <si>
    <t>STD PN</t>
  </si>
  <si>
    <t>Supplier</t>
  </si>
  <si>
    <t>Supplier PN</t>
  </si>
  <si>
    <t>BILL    OF   MATERIAL</t>
  </si>
  <si>
    <t>Model A</t>
  </si>
  <si>
    <t>Model B</t>
  </si>
  <si>
    <t>Model C</t>
  </si>
  <si>
    <t>Model D</t>
  </si>
  <si>
    <t>Model E</t>
  </si>
  <si>
    <t>Model F</t>
  </si>
  <si>
    <t>Model G</t>
  </si>
  <si>
    <t>Description</t>
  </si>
  <si>
    <t>Qty</t>
  </si>
  <si>
    <t>Location</t>
  </si>
  <si>
    <t>Total Q'ty</t>
  </si>
  <si>
    <t>Total Set</t>
  </si>
  <si>
    <t/>
  </si>
  <si>
    <t>Remark</t>
  </si>
  <si>
    <t>52170MR00-940-G</t>
  </si>
  <si>
    <t>TVS,Ir(max)=1uA,Vc(typ)=10V,Vrwm(max)=5V,Vbr(min)=6V,20KV(air),15KV(contact),SOD523-2P,SMD,ROHS,HF</t>
  </si>
  <si>
    <t>AMAZING</t>
  </si>
  <si>
    <t>AZ5125-01H.R7G</t>
  </si>
  <si>
    <t>AD1</t>
  </si>
  <si>
    <t>611209V00-092-H</t>
  </si>
  <si>
    <t>Variable,Vrms=4V,Vdc=5.5V,Vv=9~19V,C=100pF,SMD0402,ROHS,HF</t>
  </si>
  <si>
    <t>INPAQ</t>
  </si>
  <si>
    <t>VPORT0402L101V05</t>
  </si>
  <si>
    <t>AD2,AD3,AD4,AD5,AD6,AD7</t>
  </si>
  <si>
    <t>Phase: {{.Phase}}</t>
    <phoneticPr fontId="11" type="noConversion"/>
  </si>
  <si>
    <t>BOM Version: {{.Version}}</t>
    <phoneticPr fontId="11" type="noConversion"/>
  </si>
  <si>
    <t>Product Code: {{.ProjectCode}}</t>
    <phoneticPr fontId="11" type="noConversion"/>
  </si>
  <si>
    <t>Description: {{.Description}}</t>
    <phoneticPr fontId="11" type="noConversion"/>
  </si>
  <si>
    <t>Schematic Version: {{.SchematicVersion}}</t>
    <phoneticPr fontId="11" type="noConversion"/>
  </si>
  <si>
    <t>PCB Version: {{.PCBVersion}}</t>
    <phoneticPr fontId="11" type="noConversion"/>
  </si>
  <si>
    <t>PCA PN: {{.PCAPN}}</t>
    <phoneticPr fontId="11" type="noConversion"/>
  </si>
  <si>
    <t>Date: {{.Date}}</t>
    <phoneticPr fontId="11" type="noConversion"/>
  </si>
  <si>
    <t>{{.ModelQtyA}}</t>
    <phoneticPr fontId="11" type="noConversion"/>
  </si>
  <si>
    <t>{{.ModelQtyB}}</t>
    <phoneticPr fontId="11" type="noConversion"/>
  </si>
  <si>
    <t>{{.ModelQtyC}}</t>
    <phoneticPr fontId="11" type="noConversion"/>
  </si>
  <si>
    <t>{{.ModelQtyD}}</t>
    <phoneticPr fontId="11" type="noConversion"/>
  </si>
  <si>
    <t>{{.ModelQtyE}}</t>
    <phoneticPr fontId="11" type="noConversion"/>
  </si>
  <si>
    <t>{{.ModelQtyF}}</t>
    <phoneticPr fontId="11" type="noConversion"/>
  </si>
  <si>
    <t>{{.ModelQtyG}}</t>
    <phoneticPr fontId="11" type="noConversion"/>
  </si>
  <si>
    <t>Product Code: PROJ_ORDER</t>
  </si>
  <si>
    <t xml:space="preserve">Schematic Version: </t>
  </si>
  <si>
    <t xml:space="preserve">PCB Version: </t>
  </si>
  <si>
    <t>BOM Version: 0.1</t>
  </si>
  <si>
    <t>Phase: EVT</t>
  </si>
  <si>
    <t xml:space="preserve">Description: </t>
  </si>
  <si>
    <t xml:space="preserve">PCA PN: </t>
  </si>
  <si>
    <t>Date: 20260807</t>
  </si>
  <si>
    <t>3</t>
  </si>
  <si>
    <t>5</t>
  </si>
  <si>
    <t>7</t>
  </si>
  <si>
    <t>1</t>
  </si>
  <si>
    <t>MAIN_PN_01</t>
  </si>
  <si>
    <t>Resistor 100K</t>
  </si>
  <si>
    <t>YAGEO</t>
  </si>
  <si>
    <t>R100K</t>
  </si>
  <si>
    <t>V</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</si>
</sst>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name val="新細明體"/>
      <family val="2"/>
      <color indexed="8"/>
      <sz val="11"/>
      <scheme val="minor"/>
    </font>
    <font>
      <name val="Calibri"/>
      <family val="2"/>
      <b val="1"/>
      <sz val="8"/>
    </font>
    <font>
      <name val="Calibri"/>
      <family val="2"/>
      <b val="1"/>
      <color indexed="9"/>
      <sz val="8"/>
    </font>
    <font>
      <name val="Calibri"/>
      <family val="2"/>
      <b val="1"/>
      <color indexed="9"/>
      <sz val="10"/>
    </font>
    <font>
      <name val="Calibri"/>
      <family val="2"/>
      <b val="1"/>
      <sz val="8"/>
    </font>
    <font>
      <name val="Calibri"/>
      <family val="2"/>
      <b val="1"/>
      <color indexed="9"/>
      <sz val="8"/>
    </font>
    <font>
      <name val="Calibri"/>
      <family val="2"/>
      <b val="1"/>
      <color indexed="9"/>
      <sz val="8"/>
    </font>
    <font>
      <name val="Calibri"/>
      <family val="2"/>
      <sz val="8"/>
    </font>
    <font>
      <name val="Calibri"/>
      <family val="2"/>
      <sz val="8"/>
    </font>
    <font>
      <name val="Calibri"/>
      <family val="2"/>
      <sz val="8"/>
    </font>
    <font>
      <name val="Calibri"/>
      <family val="2"/>
      <sz val="8"/>
    </font>
    <font>
      <name val="新細明體"/>
      <charset val="136"/>
      <family val="3"/>
      <sz val="9"/>
      <scheme val="minor"/>
    </font>
    <font>
      <name val="Calibri"/>
      <family val="2"/>
      <sz val="8"/>
    </font>
  </fonts>
  <fills count="6">
    <fill>
      <patternFill patternType="none"/>
    </fill>
    <fill>
      <patternFill patternType="gray125"/>
    </fill>
    <fill>
      <patternFill patternType="solid">
        <fgColor indexed="8"/>
      </patternFill>
    </fill>
    <fill>
      <patternFill patternType="solid">
        <fgColor indexed="9"/>
      </patternFill>
    </fill>
    <fill>
      <patternFill patternType="solid">
        <fgColor indexed="55"/>
      </patternFill>
    </fill>
    <fill>
      <patternFill patternType="solid">
        <fgColor indexed="26"/>
      </patternFill>
    </fill>
  </fills>
  <borders count="2">
    <border>
      <left/>
      <right/>
      <top/>
      <bottom/>
      <diagonal/>
    </border>
    <border>
      <left style="thin">
        <color auto="true"/>
      </left>
      <right style="thin">
        <color auto="true"/>
      </right>
      <top style="thin">
        <color auto="true"/>
      </top>
      <bottom style="thin">
        <color auto="true"/>
      </bottom>
      <diagonal/>
    </border>
  </borders>
  <cellStyleXfs count="1">
    <xf numFmtId="0" fontId="0" fillId="0" borderId="0">
      <alignment vertical="center"/>
    </xf>
  </cellStyleXfs>
  <cellXfs count="19">
    <xf numFmtId="0" fontId="0" fillId="0" borderId="0" xfId="0">
      <alignment vertical="center"/>
    </xf>
    <xf numFmtId="0" fontId="1" fillId="3" borderId="0" xfId="0" applyFont="true" applyFill="true" applyAlignment="true">
      <alignment horizontal="left" vertical="center"/>
    </xf>
    <xf numFmtId="0" fontId="2" fillId="4" borderId="1" xfId="0" applyFont="true" applyFill="true" applyBorder="true" applyAlignment="true">
      <alignment horizontal="center" vertical="center" wrapText="true"/>
    </xf>
    <xf numFmtId="0" fontId="4" fillId="3" borderId="0" xfId="0" applyFont="true" applyFill="true" applyAlignment="true">
      <alignment horizontal="left" vertical="center"/>
    </xf>
    <xf numFmtId="0" fontId="5" fillId="4" borderId="1" xfId="0" applyFont="true" applyFill="true" applyBorder="true" applyAlignment="true">
      <alignment horizontal="center" vertical="center" wrapText="true"/>
    </xf>
    <xf numFmtId="0" fontId="6" fillId="4" borderId="1" xfId="0" applyFont="true" applyFill="true" applyBorder="true" applyAlignment="true">
      <alignment horizontal="center" vertical="center" wrapText="true"/>
    </xf>
    <xf numFmtId="0" fontId="7" fillId="0" borderId="1" xfId="0" applyFont="true" applyBorder="true" applyAlignment="true">
      <alignment horizontal="center" vertical="center" wrapText="true"/>
    </xf>
    <xf numFmtId="0" fontId="8" fillId="5" borderId="1" xfId="0" applyFont="true" applyFill="true" applyBorder="true" applyAlignment="true">
      <alignment horizontal="center" vertical="center" wrapText="true"/>
    </xf>
    <xf numFmtId="0" fontId="9" fillId="0" borderId="1" xfId="0" applyFont="true" applyBorder="true" applyAlignment="true">
      <alignment horizontal="left" vertical="center" wrapText="true"/>
    </xf>
    <xf numFmtId="0" fontId="10" fillId="5" borderId="1" xfId="0" applyFont="true" applyFill="true" applyBorder="true" applyAlignment="true">
      <alignment horizontal="left" vertical="center" wrapText="true"/>
    </xf>
    <xf numFmtId="0" fontId="0" fillId="0" borderId="0" xfId="0" applyAlignment="true"/>
    <xf numFmtId="0" fontId="3" fillId="2" borderId="0" xfId="0" applyFont="true" applyFill="true" applyAlignment="true">
      <alignment horizontal="center" vertical="center" wrapText="true"/>
    </xf>
    <xf numFmtId="0" fontId="0" fillId="0" borderId="0" xfId="0">
      <alignment vertical="center"/>
    </xf>
    <xf numFmtId="0" fontId="9" fillId="0" borderId="1" xfId="0" applyFont="true" applyBorder="true" applyAlignment="true">
      <alignment horizontal="left" vertical="center"/>
    </xf>
    <xf numFmtId="0" fontId="10" fillId="5" borderId="1" xfId="0" applyFont="true" applyFill="true" applyBorder="true" applyAlignment="true">
      <alignment horizontal="left" vertical="center"/>
    </xf>
    <xf numFmtId="0" fontId="9" fillId="0" borderId="1" xfId="0" applyFont="true" applyBorder="true" applyAlignment="true">
      <alignment horizontal="center" vertical="center" wrapText="true"/>
    </xf>
    <xf numFmtId="0" fontId="10" fillId="5" borderId="1" xfId="0" applyFont="true" applyFill="true" applyBorder="true" applyAlignment="true">
      <alignment horizontal="center" vertical="center" wrapText="true"/>
    </xf>
    <xf numFmtId="0" fontId="12" fillId="0" borderId="1" xfId="0" applyFont="true" applyBorder="true" applyAlignment="true">
      <alignment horizontal="center" vertical="center" wrapText="true"/>
    </xf>
    <xf numFmtId="0" fontId="12" fillId="5" borderId="1" xfId="0" applyFont="true" applyFill="true" applyBorder="true" applyAlignment="true">
      <alignment horizontal="center" vertical="center" wrapText="true"/>
    </xf>
  </cellXfs>
  <cellStyles count="1">
    <cellStyle name="一般"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8"/>
  <sheetViews>
    <sheetView tabSelected="true" workbookViewId="0">
      <selection activeCell="E12" sqref="E12"/>
    </sheetView>
  </sheetViews>
  <sheetFormatPr defaultRowHeight="15"/>
  <cols>
    <col customWidth="true" max="1" min="1" width="5"/>
    <col customWidth="true" max="2" min="2" width="14"/>
    <col customWidth="true" max="3" min="3" width="9.75"/>
    <col customWidth="true" max="4" min="4" width="36"/>
    <col customWidth="true" max="5" min="5" width="15"/>
    <col customWidth="true" max="6" min="6" width="20"/>
    <col customWidth="true" max="7" min="7" width="5"/>
    <col customWidth="true" max="8" min="8" width="23.25"/>
    <col bestFit="true" customWidth="true" max="9" min="9" width="6.875"/>
    <col customWidth="true" max="10" min="10" width="5.625"/>
    <col customWidth="true" max="18" min="11" width="6"/>
  </cols>
  <sheetData>
    <row r="1" spans="1:18">
      <c r="A1" s="11" t="s">
        <v>0</v>
      </c>
      <c r="B1" s="12"/>
      <c r="C1" s="12"/>
      <c r="D1" s="12"/>
      <c r="E1" s="12"/>
      <c r="F1" s="12"/>
      <c r="G1" s="12"/>
      <c r="H1" s="12"/>
      <c r="I1" s="12"/>
      <c r="J1" s="12"/>
      <c r="K1" s="12"/>
      <c r="L1" s="12"/>
      <c r="M1" s="12"/>
      <c r="N1" s="12"/>
      <c r="O1" s="12"/>
      <c r="P1" s="12"/>
      <c r="Q1" s="12"/>
      <c r="R1" s="12"/>
    </row>
    <row r="2" spans="1:18">
      <c r="A2" s="11" t="s">
        <v>6</v>
      </c>
      <c r="B2" s="12"/>
      <c r="C2" s="12"/>
      <c r="D2" s="12"/>
      <c r="E2" s="12"/>
      <c r="F2" s="12"/>
      <c r="G2" s="12"/>
      <c r="H2" s="12"/>
      <c r="I2" s="12"/>
      <c r="J2" s="12"/>
      <c r="K2" s="12"/>
      <c r="L2" s="12"/>
      <c r="M2" s="12"/>
      <c r="N2" s="12"/>
      <c r="O2" s="12"/>
      <c r="P2" s="12"/>
      <c r="Q2" s="12"/>
      <c r="R2" s="12"/>
    </row>
    <row r="3" spans="1:18">
      <c r="A3" s="3"/>
      <c r="B3" s="1" t="s">
        <v>46</v>
      </c>
      <c r="C3" s="3"/>
      <c r="D3" s="1" t="s">
        <v>47</v>
      </c>
      <c r="E3" s="3"/>
      <c r="F3" s="1" t="s">
        <v>48</v>
      </c>
      <c r="G3" s="3"/>
      <c r="H3" s="1" t="s">
        <v>49</v>
      </c>
      <c r="I3" s="3"/>
      <c r="J3" s="1" t="s">
        <v>50</v>
      </c>
      <c r="K3" s="3"/>
      <c r="L3" s="3"/>
      <c r="M3" s="3"/>
      <c r="N3" s="3"/>
      <c r="O3" s="3"/>
      <c r="P3" s="3"/>
      <c r="Q3" s="3"/>
      <c r="R3" s="3"/>
    </row>
    <row r="4" spans="1:18" ht="20.4">
      <c r="A4" s="3"/>
      <c r="B4" s="1" t="s">
        <v>51</v>
      </c>
      <c r="C4" s="3"/>
      <c r="D4" s="3"/>
      <c r="E4" s="3"/>
      <c r="F4" s="1" t="s">
        <v>52</v>
      </c>
      <c r="G4" s="3"/>
      <c r="H4" s="1" t="s">
        <v>53</v>
      </c>
      <c r="I4" s="3"/>
      <c r="J4" s="3"/>
      <c r="K4" s="5" t="s">
        <v>7</v>
      </c>
      <c r="L4" s="5" t="s">
        <v>8</v>
      </c>
      <c r="M4" s="5" t="s">
        <v>9</v>
      </c>
      <c r="N4" s="5" t="s">
        <v>10</v>
      </c>
      <c r="O4" s="5" t="s">
        <v>11</v>
      </c>
      <c r="P4" s="5" t="s">
        <v>12</v>
      </c>
      <c r="Q4" s="5" t="s">
        <v>13</v>
      </c>
      <c r="R4" s="3"/>
    </row>
    <row r="5" spans="1:18" ht="20.4">
      <c r="A5" s="4" t="s">
        <v>1</v>
      </c>
      <c r="B5" s="4" t="s">
        <v>2</v>
      </c>
      <c r="C5" s="4" t="s">
        <v>3</v>
      </c>
      <c r="D5" s="4" t="s">
        <v>14</v>
      </c>
      <c r="E5" s="4" t="s">
        <v>4</v>
      </c>
      <c r="F5" s="4" t="s">
        <v>5</v>
      </c>
      <c r="G5" s="4" t="s">
        <v>15</v>
      </c>
      <c r="H5" s="4" t="s">
        <v>16</v>
      </c>
      <c r="I5" s="4" t="s">
        <v>17</v>
      </c>
      <c r="J5" s="4" t="s">
        <v>18</v>
      </c>
      <c r="K5" s="2">
        <v>3</v>
      </c>
      <c r="L5" s="2">
        <v>5</v>
      </c>
      <c r="M5" s="2">
        <v>7</v>
      </c>
      <c r="N5" s="2" t="s">
        <v>19</v>
      </c>
      <c r="O5" s="2" t="s">
        <v>19</v>
      </c>
      <c r="P5" s="2" t="s">
        <v>19</v>
      </c>
      <c r="Q5" s="2" t="s">
        <v>19</v>
      </c>
      <c r="R5" s="4" t="s">
        <v>20</v>
      </c>
    </row>
    <row r="6" spans="1:18" ht="30.6">
      <c r="A6" s="6" t="s">
        <v>57</v>
      </c>
      <c r="B6" s="8" t="s">
        <v>58</v>
      </c>
      <c r="C6" s="8"/>
      <c r="D6" s="8" t="s">
        <v>59</v>
      </c>
      <c r="E6" s="8" t="s">
        <v>60</v>
      </c>
      <c r="F6" s="8" t="s">
        <v>61</v>
      </c>
      <c r="G6" s="6">
        <v>2</v>
      </c>
      <c r="H6" s="13" t="s">
        <v>19</v>
      </c>
      <c r="I6" s="15" t="str">
        <f>=G6*J6</f>
      </c>
      <c r="J6" s="15" t="str">
        <f>IF(EXACT(K6,"V"),K$5,0)+IF(EXACT(L6,"V"),L$5,0)+IF(EXACT(M6,"V"),M$5,0)+IF(EXACT(N6,"V"),N$5,0)+IF(EXACT(O6,"V"),O$5,0)+IF(EXACT(P6,"V"),P$5,0)+IF(EXACT(Q6,"V"),Q$5,0)</f>
      </c>
      <c r="K6" s="17" t="s">
        <v>62</v>
      </c>
      <c r="L6" s="17" t="s">
        <v>62</v>
      </c>
      <c r="M6" s="17" t="s">
        <v>62</v>
      </c>
      <c r="N6" s="17" t="s">
        <v>19</v>
      </c>
      <c r="O6" s="17" t="s">
        <v>19</v>
      </c>
      <c r="P6" s="17" t="s">
        <v>19</v>
      </c>
      <c r="Q6" s="17" t="s">
        <v>19</v>
      </c>
      <c r="R6" s="15" t="s">
        <v>19</v>
      </c>
    </row>
    <row r="7" spans="1:18" ht="20.4">
      <c r="A7" s="7"/>
      <c r="B7" s="9"/>
      <c r="C7" s="9"/>
      <c r="D7" s="9"/>
      <c r="E7" s="9"/>
      <c r="F7" s="9"/>
      <c r="G7" s="7"/>
      <c r="H7" s="14"/>
      <c r="I7" s="16"/>
      <c r="J7" s="16"/>
      <c r="K7" s="18"/>
      <c r="L7" s="16" t="s">
        <v>19</v>
      </c>
      <c r="M7" s="16" t="s">
        <v>19</v>
      </c>
      <c r="N7" s="16" t="s">
        <v>19</v>
      </c>
      <c r="O7" s="16" t="s">
        <v>19</v>
      </c>
      <c r="P7" s="16" t="s">
        <v>19</v>
      </c>
      <c r="Q7" s="16" t="s">
        <v>19</v>
      </c>
      <c r="R7" s="9" t="s">
        <v>19</v>
      </c>
    </row>
    <row r="8" spans="1:18">
      <c r="K8" s="10"/>
      <c r="L8" s="10"/>
      <c r="M8" s="10"/>
    </row>
  </sheetData>
  <mergeCells count="2">
    <mergeCell ref="A1:R1"/>
    <mergeCell ref="A2:R2"/>
  </mergeCells>
  <phoneticPr fontId="11" type="noConversion"/>
  <pageMargins left="0.7" right="0.7" top="0.75" bottom="0.75" header="0.3" footer="0.3"/>
</worksheet>
</file>

<file path=xl/worksheets/sheet3.xml><?xml version="1.0" encoding="utf-8"?>
<worksheet xmlns="http://schemas.openxmlformats.org/spreadsheetml/2006/main">
  <dimension ref="A1"/>
  <sheetViews>
    <sheetView workbookViewId="0"/>
  </sheetViews>
  <sheetData>
    <row r="5">
      <c r="K5">
        <v>3</v>
      </c>
      <c r="L5">
        <v>5</v>
      </c>
      <c r="M5">
        <v>7</v>
      </c>
      <c r="N5" t="s">
        <v>19</v>
      </c>
      <c r="O5" t="s">
        <v>19</v>
      </c>
      <c r="P5" t="s">
        <v>19</v>
      </c>
      <c r="Q5" t="s">
        <v>19</v>
      </c>
    </row>
  </sheetData>
</worksheet>
</file>

<file path=xl/worksheets/sheet4.xml><?xml version="1.0" encoding="utf-8"?>
<worksheet xmlns="http://schemas.openxmlformats.org/spreadsheetml/2006/main">
  <dimension ref="A1"/>
  <sheetViews>
    <sheetView workbookViewId="0"/>
  </sheetViews>
  <sheetData>
    <row r="5">
      <c r="K5">
        <v>3</v>
      </c>
      <c r="L5">
        <v>5</v>
      </c>
      <c r="M5">
        <v>7</v>
      </c>
      <c r="N5" t="s">
        <v>19</v>
      </c>
      <c r="O5" t="s">
        <v>19</v>
      </c>
      <c r="P5" t="s">
        <v>19</v>
      </c>
      <c r="Q5" t="s">
        <v>19</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SMD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Gaven Huang (黃嘉文)</cp:lastModifiedBy>
  <dcterms:created xsi:type="dcterms:W3CDTF">2026-07-22T07:47:01Z</dcterms:created>
  <dcterms:modified xsi:type="dcterms:W3CDTF">2026-08-06T04:41:35Z</dcterms:modified>
</cp:coreProperties>
</file>