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專案\FY27\FY27_SLIM\BOM\1151015\"/>
    </mc:Choice>
  </mc:AlternateContent>
  <xr:revisionPtr revIDLastSave="0" documentId="13_ncr:1_{1A792F91-5EDE-419C-AE20-A1DFB5CFA0F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autions" sheetId="1" r:id="rId1"/>
    <sheet name="SMD" sheetId="2" r:id="rId2"/>
    <sheet name="PTH" sheetId="3" r:id="rId3"/>
    <sheet name="BOTTOM" sheetId="4" r:id="rId4"/>
  </sheets>
  <definedNames>
    <definedName name="_xlnm._FilterDatabase" localSheetId="3" hidden="1">BOTTOM!$A$5:$R$69</definedName>
    <definedName name="_xlnm._FilterDatabase" localSheetId="2" hidden="1">PTH!$A$5:$R$5</definedName>
    <definedName name="_xlnm._FilterDatabase" localSheetId="1" hidden="1">SMD!$A$5:$R$271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3" l="1"/>
  <c r="I48" i="3" s="1"/>
  <c r="J69" i="4"/>
  <c r="I69" i="4" s="1"/>
  <c r="J68" i="4"/>
  <c r="I68" i="4" s="1"/>
  <c r="J67" i="4"/>
  <c r="I67" i="4" s="1"/>
  <c r="J66" i="4"/>
  <c r="I66" i="4" s="1"/>
  <c r="J65" i="4"/>
  <c r="I65" i="4" s="1"/>
  <c r="J64" i="4"/>
  <c r="I64" i="4" s="1"/>
  <c r="J63" i="4"/>
  <c r="I63" i="4" s="1"/>
  <c r="J62" i="4"/>
  <c r="I62" i="4" s="1"/>
  <c r="J61" i="4"/>
  <c r="I61" i="4" s="1"/>
  <c r="J60" i="4"/>
  <c r="I60" i="4" s="1"/>
  <c r="J59" i="4"/>
  <c r="I59" i="4" s="1"/>
  <c r="J58" i="4"/>
  <c r="I58" i="4" s="1"/>
  <c r="J57" i="4"/>
  <c r="I57" i="4" s="1"/>
  <c r="J56" i="4"/>
  <c r="I56" i="4" s="1"/>
  <c r="J55" i="4"/>
  <c r="I55" i="4"/>
  <c r="J54" i="4"/>
  <c r="I54" i="4"/>
  <c r="J53" i="4"/>
  <c r="I53" i="4" s="1"/>
  <c r="J52" i="4"/>
  <c r="I52" i="4" s="1"/>
  <c r="J51" i="4"/>
  <c r="I51" i="4" s="1"/>
  <c r="J50" i="4"/>
  <c r="I50" i="4" s="1"/>
  <c r="J49" i="4"/>
  <c r="I49" i="4" s="1"/>
  <c r="J48" i="4"/>
  <c r="I48" i="4" s="1"/>
  <c r="J47" i="4"/>
  <c r="I47" i="4" s="1"/>
  <c r="J46" i="4"/>
  <c r="I46" i="4"/>
  <c r="J45" i="4"/>
  <c r="I45" i="4" s="1"/>
  <c r="J44" i="4"/>
  <c r="I44" i="4"/>
  <c r="J43" i="4"/>
  <c r="I43" i="4" s="1"/>
  <c r="J42" i="4"/>
  <c r="I42" i="4" s="1"/>
  <c r="J41" i="4"/>
  <c r="I41" i="4"/>
  <c r="J40" i="4"/>
  <c r="I40" i="4" s="1"/>
  <c r="J39" i="4"/>
  <c r="I39" i="4" s="1"/>
  <c r="J38" i="4"/>
  <c r="I38" i="4" s="1"/>
  <c r="J37" i="4"/>
  <c r="I37" i="4" s="1"/>
  <c r="J36" i="4"/>
  <c r="I36" i="4" s="1"/>
  <c r="J35" i="4"/>
  <c r="I35" i="4" s="1"/>
  <c r="J34" i="4"/>
  <c r="I34" i="4" s="1"/>
  <c r="J33" i="4"/>
  <c r="I33" i="4"/>
  <c r="J32" i="4"/>
  <c r="I32" i="4" s="1"/>
  <c r="J31" i="4"/>
  <c r="I31" i="4"/>
  <c r="J30" i="4"/>
  <c r="I30" i="4"/>
  <c r="J29" i="4"/>
  <c r="I29" i="4" s="1"/>
  <c r="J28" i="4"/>
  <c r="I28" i="4" s="1"/>
  <c r="J27" i="4"/>
  <c r="I27" i="4" s="1"/>
  <c r="J26" i="4"/>
  <c r="I26" i="4" s="1"/>
  <c r="J25" i="4"/>
  <c r="I25" i="4"/>
  <c r="J24" i="4"/>
  <c r="I24" i="4" s="1"/>
  <c r="J23" i="4"/>
  <c r="I23" i="4" s="1"/>
  <c r="J22" i="4"/>
  <c r="I22" i="4" s="1"/>
  <c r="J21" i="4"/>
  <c r="I21" i="4"/>
  <c r="J20" i="4"/>
  <c r="I20" i="4"/>
  <c r="J19" i="4"/>
  <c r="I19" i="4" s="1"/>
  <c r="J18" i="4"/>
  <c r="I18" i="4" s="1"/>
  <c r="J17" i="4"/>
  <c r="I17" i="4" s="1"/>
  <c r="J16" i="4"/>
  <c r="I16" i="4"/>
  <c r="J15" i="4"/>
  <c r="I15" i="4" s="1"/>
  <c r="J14" i="4"/>
  <c r="I14" i="4" s="1"/>
  <c r="J13" i="4"/>
  <c r="I13" i="4" s="1"/>
  <c r="J12" i="4"/>
  <c r="I12" i="4" s="1"/>
  <c r="J11" i="4"/>
  <c r="I11" i="4" s="1"/>
  <c r="J10" i="4"/>
  <c r="I10" i="4" s="1"/>
  <c r="J9" i="4"/>
  <c r="I9" i="4" s="1"/>
  <c r="J8" i="4"/>
  <c r="I8" i="4" s="1"/>
  <c r="J7" i="4"/>
  <c r="I7" i="4" s="1"/>
  <c r="J6" i="4"/>
  <c r="I6" i="4"/>
  <c r="J73" i="3"/>
  <c r="I73" i="3"/>
  <c r="J72" i="3"/>
  <c r="I72" i="3" s="1"/>
  <c r="J71" i="3"/>
  <c r="I71" i="3"/>
  <c r="J70" i="3"/>
  <c r="I70" i="3" s="1"/>
  <c r="J69" i="3"/>
  <c r="I69" i="3" s="1"/>
  <c r="J68" i="3"/>
  <c r="I68" i="3"/>
  <c r="J67" i="3"/>
  <c r="I67" i="3" s="1"/>
  <c r="J66" i="3"/>
  <c r="I66" i="3" s="1"/>
  <c r="J65" i="3"/>
  <c r="I65" i="3"/>
  <c r="J64" i="3"/>
  <c r="I64" i="3"/>
  <c r="J63" i="3"/>
  <c r="I63" i="3"/>
  <c r="J62" i="3"/>
  <c r="I62" i="3"/>
  <c r="J61" i="3"/>
  <c r="I61" i="3"/>
  <c r="J60" i="3"/>
  <c r="I60" i="3" s="1"/>
  <c r="J59" i="3"/>
  <c r="I59" i="3"/>
  <c r="J58" i="3"/>
  <c r="I58" i="3" s="1"/>
  <c r="J57" i="3"/>
  <c r="I57" i="3" s="1"/>
  <c r="J56" i="3"/>
  <c r="I56" i="3" s="1"/>
  <c r="J55" i="3"/>
  <c r="I55" i="3" s="1"/>
  <c r="J54" i="3"/>
  <c r="I54" i="3"/>
  <c r="J53" i="3"/>
  <c r="I53" i="3"/>
  <c r="J52" i="3"/>
  <c r="I52" i="3"/>
  <c r="J51" i="3"/>
  <c r="I51" i="3" s="1"/>
  <c r="J50" i="3"/>
  <c r="I50" i="3" s="1"/>
  <c r="J49" i="3"/>
  <c r="I49" i="3" s="1"/>
  <c r="J47" i="3"/>
  <c r="I47" i="3" s="1"/>
  <c r="J46" i="3"/>
  <c r="I46" i="3" s="1"/>
  <c r="J45" i="3"/>
  <c r="I45" i="3" s="1"/>
  <c r="J44" i="3"/>
  <c r="I44" i="3"/>
  <c r="J43" i="3"/>
  <c r="I43" i="3"/>
  <c r="J42" i="3"/>
  <c r="I42" i="3"/>
  <c r="J41" i="3"/>
  <c r="I41" i="3"/>
  <c r="J40" i="3"/>
  <c r="I40" i="3" s="1"/>
  <c r="J39" i="3"/>
  <c r="I39" i="3"/>
  <c r="J38" i="3"/>
  <c r="I38" i="3"/>
  <c r="J37" i="3"/>
  <c r="I37" i="3" s="1"/>
  <c r="J36" i="3"/>
  <c r="I36" i="3" s="1"/>
  <c r="J35" i="3"/>
  <c r="I35" i="3"/>
  <c r="J34" i="3"/>
  <c r="I34" i="3"/>
  <c r="J33" i="3"/>
  <c r="I33" i="3" s="1"/>
  <c r="J32" i="3"/>
  <c r="I32" i="3"/>
  <c r="J31" i="3"/>
  <c r="I31" i="3" s="1"/>
  <c r="J30" i="3"/>
  <c r="I30" i="3" s="1"/>
  <c r="J29" i="3"/>
  <c r="I29" i="3" s="1"/>
  <c r="J28" i="3"/>
  <c r="I28" i="3" s="1"/>
  <c r="J27" i="3"/>
  <c r="I27" i="3" s="1"/>
  <c r="J26" i="3"/>
  <c r="I26" i="3" s="1"/>
  <c r="J25" i="3"/>
  <c r="I25" i="3" s="1"/>
  <c r="J24" i="3"/>
  <c r="I24" i="3" s="1"/>
  <c r="J23" i="3"/>
  <c r="I23" i="3" s="1"/>
  <c r="J22" i="3"/>
  <c r="I22" i="3"/>
  <c r="J21" i="3"/>
  <c r="I21" i="3"/>
  <c r="J20" i="3"/>
  <c r="I20" i="3" s="1"/>
  <c r="J19" i="3"/>
  <c r="I19" i="3"/>
  <c r="J18" i="3"/>
  <c r="I18" i="3"/>
  <c r="J17" i="3"/>
  <c r="I17" i="3" s="1"/>
  <c r="J16" i="3"/>
  <c r="I16" i="3" s="1"/>
  <c r="J15" i="3"/>
  <c r="I15" i="3"/>
  <c r="J14" i="3"/>
  <c r="I14" i="3" s="1"/>
  <c r="J13" i="3"/>
  <c r="I13" i="3"/>
  <c r="J12" i="3"/>
  <c r="I12" i="3"/>
  <c r="J11" i="3"/>
  <c r="I11" i="3"/>
  <c r="J10" i="3"/>
  <c r="I10" i="3" s="1"/>
  <c r="J9" i="3"/>
  <c r="I9" i="3"/>
  <c r="J8" i="3"/>
  <c r="I8" i="3"/>
  <c r="J7" i="3"/>
  <c r="I7" i="3" s="1"/>
  <c r="J6" i="3"/>
  <c r="I6" i="3" s="1"/>
  <c r="J271" i="2"/>
  <c r="I271" i="2" s="1"/>
  <c r="J270" i="2"/>
  <c r="I270" i="2" s="1"/>
  <c r="J269" i="2"/>
  <c r="I269" i="2" s="1"/>
  <c r="J268" i="2"/>
  <c r="I268" i="2" s="1"/>
  <c r="J267" i="2"/>
  <c r="I267" i="2" s="1"/>
  <c r="J266" i="2"/>
  <c r="I266" i="2" s="1"/>
  <c r="J265" i="2"/>
  <c r="I265" i="2" s="1"/>
  <c r="J264" i="2"/>
  <c r="I264" i="2" s="1"/>
  <c r="J263" i="2"/>
  <c r="I263" i="2" s="1"/>
  <c r="J262" i="2"/>
  <c r="I262" i="2" s="1"/>
  <c r="J261" i="2"/>
  <c r="I261" i="2" s="1"/>
  <c r="J260" i="2"/>
  <c r="I260" i="2" s="1"/>
  <c r="J259" i="2"/>
  <c r="I259" i="2" s="1"/>
  <c r="J258" i="2"/>
  <c r="I258" i="2" s="1"/>
  <c r="J257" i="2"/>
  <c r="I257" i="2" s="1"/>
  <c r="J256" i="2"/>
  <c r="I256" i="2" s="1"/>
  <c r="J255" i="2"/>
  <c r="I255" i="2" s="1"/>
  <c r="J254" i="2"/>
  <c r="I254" i="2" s="1"/>
  <c r="J253" i="2"/>
  <c r="I253" i="2" s="1"/>
  <c r="J252" i="2"/>
  <c r="I252" i="2" s="1"/>
  <c r="J251" i="2"/>
  <c r="I251" i="2" s="1"/>
  <c r="J250" i="2"/>
  <c r="I250" i="2" s="1"/>
  <c r="J249" i="2"/>
  <c r="I249" i="2" s="1"/>
  <c r="J248" i="2"/>
  <c r="I248" i="2" s="1"/>
  <c r="J247" i="2"/>
  <c r="I247" i="2" s="1"/>
  <c r="J246" i="2"/>
  <c r="I246" i="2" s="1"/>
  <c r="J245" i="2"/>
  <c r="I245" i="2" s="1"/>
  <c r="J244" i="2"/>
  <c r="I244" i="2" s="1"/>
  <c r="J243" i="2"/>
  <c r="I243" i="2" s="1"/>
  <c r="J242" i="2"/>
  <c r="I242" i="2" s="1"/>
  <c r="J241" i="2"/>
  <c r="I241" i="2" s="1"/>
  <c r="J240" i="2"/>
  <c r="I240" i="2" s="1"/>
  <c r="J239" i="2"/>
  <c r="I239" i="2" s="1"/>
  <c r="J238" i="2"/>
  <c r="I238" i="2" s="1"/>
  <c r="J237" i="2"/>
  <c r="I237" i="2" s="1"/>
  <c r="J236" i="2"/>
  <c r="I236" i="2" s="1"/>
  <c r="J235" i="2"/>
  <c r="I235" i="2" s="1"/>
  <c r="J234" i="2"/>
  <c r="I234" i="2" s="1"/>
  <c r="J233" i="2"/>
  <c r="I233" i="2" s="1"/>
  <c r="J232" i="2"/>
  <c r="I232" i="2" s="1"/>
  <c r="J231" i="2"/>
  <c r="I231" i="2" s="1"/>
  <c r="J230" i="2"/>
  <c r="I230" i="2" s="1"/>
  <c r="J229" i="2"/>
  <c r="I229" i="2" s="1"/>
  <c r="J228" i="2"/>
  <c r="I228" i="2" s="1"/>
  <c r="J227" i="2"/>
  <c r="I227" i="2" s="1"/>
  <c r="J226" i="2"/>
  <c r="I226" i="2" s="1"/>
  <c r="J225" i="2"/>
  <c r="I225" i="2" s="1"/>
  <c r="J224" i="2"/>
  <c r="I224" i="2" s="1"/>
  <c r="J223" i="2"/>
  <c r="I223" i="2" s="1"/>
  <c r="J222" i="2"/>
  <c r="I222" i="2" s="1"/>
  <c r="J221" i="2"/>
  <c r="I221" i="2" s="1"/>
  <c r="J220" i="2"/>
  <c r="I220" i="2" s="1"/>
  <c r="J219" i="2"/>
  <c r="I219" i="2" s="1"/>
  <c r="J218" i="2"/>
  <c r="I218" i="2" s="1"/>
  <c r="J217" i="2"/>
  <c r="I217" i="2" s="1"/>
  <c r="J216" i="2"/>
  <c r="I216" i="2" s="1"/>
  <c r="J215" i="2"/>
  <c r="I215" i="2" s="1"/>
  <c r="J214" i="2"/>
  <c r="I214" i="2" s="1"/>
  <c r="J213" i="2"/>
  <c r="I213" i="2" s="1"/>
  <c r="J212" i="2"/>
  <c r="I212" i="2" s="1"/>
  <c r="J211" i="2"/>
  <c r="I211" i="2" s="1"/>
  <c r="J210" i="2"/>
  <c r="I210" i="2" s="1"/>
  <c r="J209" i="2"/>
  <c r="I209" i="2" s="1"/>
  <c r="J208" i="2"/>
  <c r="I208" i="2" s="1"/>
  <c r="J207" i="2"/>
  <c r="I207" i="2" s="1"/>
  <c r="J206" i="2"/>
  <c r="I206" i="2" s="1"/>
  <c r="J205" i="2"/>
  <c r="I205" i="2" s="1"/>
  <c r="J204" i="2"/>
  <c r="I204" i="2" s="1"/>
  <c r="J203" i="2"/>
  <c r="I203" i="2" s="1"/>
  <c r="J202" i="2"/>
  <c r="I202" i="2" s="1"/>
  <c r="J201" i="2"/>
  <c r="I201" i="2" s="1"/>
  <c r="J200" i="2"/>
  <c r="I200" i="2" s="1"/>
  <c r="J199" i="2"/>
  <c r="I199" i="2" s="1"/>
  <c r="J198" i="2"/>
  <c r="I198" i="2" s="1"/>
  <c r="J197" i="2"/>
  <c r="I197" i="2" s="1"/>
  <c r="J196" i="2"/>
  <c r="I196" i="2" s="1"/>
  <c r="J195" i="2"/>
  <c r="I195" i="2" s="1"/>
  <c r="J194" i="2"/>
  <c r="I194" i="2" s="1"/>
  <c r="J193" i="2"/>
  <c r="I193" i="2" s="1"/>
  <c r="J192" i="2"/>
  <c r="I192" i="2" s="1"/>
  <c r="J191" i="2"/>
  <c r="I191" i="2" s="1"/>
  <c r="J190" i="2"/>
  <c r="I190" i="2" s="1"/>
  <c r="J189" i="2"/>
  <c r="I189" i="2" s="1"/>
  <c r="J188" i="2"/>
  <c r="I188" i="2" s="1"/>
  <c r="J187" i="2"/>
  <c r="I187" i="2" s="1"/>
  <c r="J186" i="2"/>
  <c r="I186" i="2" s="1"/>
  <c r="J185" i="2"/>
  <c r="I185" i="2" s="1"/>
  <c r="J184" i="2"/>
  <c r="I184" i="2" s="1"/>
  <c r="J183" i="2"/>
  <c r="I183" i="2" s="1"/>
  <c r="J182" i="2"/>
  <c r="I182" i="2" s="1"/>
  <c r="J181" i="2"/>
  <c r="I181" i="2" s="1"/>
  <c r="J180" i="2"/>
  <c r="I180" i="2" s="1"/>
  <c r="J179" i="2"/>
  <c r="I179" i="2" s="1"/>
  <c r="J178" i="2"/>
  <c r="I178" i="2" s="1"/>
  <c r="J177" i="2"/>
  <c r="I177" i="2" s="1"/>
  <c r="J176" i="2"/>
  <c r="I176" i="2" s="1"/>
  <c r="J175" i="2"/>
  <c r="I175" i="2" s="1"/>
  <c r="J174" i="2"/>
  <c r="I174" i="2" s="1"/>
  <c r="J173" i="2"/>
  <c r="I173" i="2" s="1"/>
  <c r="J172" i="2"/>
  <c r="I172" i="2" s="1"/>
  <c r="J171" i="2"/>
  <c r="I171" i="2" s="1"/>
  <c r="J170" i="2"/>
  <c r="I170" i="2" s="1"/>
  <c r="J169" i="2"/>
  <c r="I169" i="2" s="1"/>
  <c r="J168" i="2"/>
  <c r="I168" i="2" s="1"/>
  <c r="J167" i="2"/>
  <c r="I167" i="2" s="1"/>
  <c r="J166" i="2"/>
  <c r="I166" i="2" s="1"/>
  <c r="J165" i="2"/>
  <c r="I165" i="2" s="1"/>
  <c r="J164" i="2"/>
  <c r="I164" i="2" s="1"/>
  <c r="J163" i="2"/>
  <c r="I163" i="2" s="1"/>
  <c r="J162" i="2"/>
  <c r="I162" i="2" s="1"/>
  <c r="J161" i="2"/>
  <c r="I161" i="2" s="1"/>
  <c r="J160" i="2"/>
  <c r="I160" i="2" s="1"/>
  <c r="J159" i="2"/>
  <c r="I159" i="2" s="1"/>
  <c r="J158" i="2"/>
  <c r="I158" i="2" s="1"/>
  <c r="J157" i="2"/>
  <c r="I157" i="2" s="1"/>
  <c r="J156" i="2"/>
  <c r="I156" i="2" s="1"/>
  <c r="J155" i="2"/>
  <c r="I155" i="2" s="1"/>
  <c r="J154" i="2"/>
  <c r="I154" i="2" s="1"/>
  <c r="J153" i="2"/>
  <c r="I153" i="2" s="1"/>
  <c r="J152" i="2"/>
  <c r="I152" i="2" s="1"/>
  <c r="J151" i="2"/>
  <c r="I151" i="2" s="1"/>
  <c r="J150" i="2"/>
  <c r="I150" i="2" s="1"/>
  <c r="J149" i="2"/>
  <c r="I149" i="2" s="1"/>
  <c r="J148" i="2"/>
  <c r="I148" i="2" s="1"/>
  <c r="J147" i="2"/>
  <c r="I147" i="2" s="1"/>
  <c r="J146" i="2"/>
  <c r="I146" i="2" s="1"/>
  <c r="J145" i="2"/>
  <c r="I145" i="2" s="1"/>
  <c r="J144" i="2"/>
  <c r="I144" i="2" s="1"/>
  <c r="J143" i="2"/>
  <c r="I143" i="2" s="1"/>
  <c r="J142" i="2"/>
  <c r="I142" i="2" s="1"/>
  <c r="J141" i="2"/>
  <c r="I141" i="2" s="1"/>
  <c r="J140" i="2"/>
  <c r="I140" i="2" s="1"/>
  <c r="J139" i="2"/>
  <c r="I139" i="2" s="1"/>
  <c r="J138" i="2"/>
  <c r="I138" i="2" s="1"/>
  <c r="J137" i="2"/>
  <c r="I137" i="2" s="1"/>
  <c r="J136" i="2"/>
  <c r="I136" i="2" s="1"/>
  <c r="J135" i="2"/>
  <c r="I135" i="2" s="1"/>
  <c r="J134" i="2"/>
  <c r="I134" i="2" s="1"/>
  <c r="J133" i="2"/>
  <c r="I133" i="2" s="1"/>
  <c r="J132" i="2"/>
  <c r="I132" i="2" s="1"/>
  <c r="J131" i="2"/>
  <c r="I131" i="2" s="1"/>
  <c r="J130" i="2"/>
  <c r="I130" i="2" s="1"/>
  <c r="J129" i="2"/>
  <c r="I129" i="2" s="1"/>
  <c r="J128" i="2"/>
  <c r="I128" i="2" s="1"/>
  <c r="J127" i="2"/>
  <c r="I127" i="2" s="1"/>
  <c r="J126" i="2"/>
  <c r="I126" i="2" s="1"/>
  <c r="J125" i="2"/>
  <c r="I125" i="2" s="1"/>
  <c r="J124" i="2"/>
  <c r="I124" i="2" s="1"/>
  <c r="J123" i="2"/>
  <c r="I123" i="2" s="1"/>
  <c r="J122" i="2"/>
  <c r="I122" i="2" s="1"/>
  <c r="J121" i="2"/>
  <c r="I121" i="2" s="1"/>
  <c r="J120" i="2"/>
  <c r="I120" i="2" s="1"/>
  <c r="J119" i="2"/>
  <c r="I119" i="2" s="1"/>
  <c r="J118" i="2"/>
  <c r="I118" i="2" s="1"/>
  <c r="J117" i="2"/>
  <c r="I117" i="2" s="1"/>
  <c r="J116" i="2"/>
  <c r="I116" i="2" s="1"/>
  <c r="J115" i="2"/>
  <c r="I115" i="2" s="1"/>
  <c r="J114" i="2"/>
  <c r="I114" i="2" s="1"/>
  <c r="J113" i="2"/>
  <c r="I113" i="2" s="1"/>
  <c r="J112" i="2"/>
  <c r="I112" i="2" s="1"/>
  <c r="J111" i="2"/>
  <c r="I111" i="2" s="1"/>
  <c r="J110" i="2"/>
  <c r="I110" i="2" s="1"/>
  <c r="J109" i="2"/>
  <c r="I109" i="2" s="1"/>
  <c r="J108" i="2"/>
  <c r="I108" i="2" s="1"/>
  <c r="J107" i="2"/>
  <c r="I107" i="2" s="1"/>
  <c r="J106" i="2"/>
  <c r="I106" i="2" s="1"/>
  <c r="J105" i="2"/>
  <c r="I105" i="2" s="1"/>
  <c r="J104" i="2"/>
  <c r="I104" i="2" s="1"/>
  <c r="J103" i="2"/>
  <c r="I103" i="2" s="1"/>
  <c r="J102" i="2"/>
  <c r="I102" i="2" s="1"/>
  <c r="J101" i="2"/>
  <c r="I101" i="2" s="1"/>
  <c r="J100" i="2"/>
  <c r="I100" i="2" s="1"/>
  <c r="J99" i="2"/>
  <c r="I99" i="2" s="1"/>
  <c r="J98" i="2"/>
  <c r="I98" i="2" s="1"/>
  <c r="J97" i="2"/>
  <c r="I97" i="2" s="1"/>
  <c r="J96" i="2"/>
  <c r="I96" i="2" s="1"/>
  <c r="J95" i="2"/>
  <c r="I95" i="2" s="1"/>
  <c r="J94" i="2"/>
  <c r="I94" i="2" s="1"/>
  <c r="J93" i="2"/>
  <c r="I93" i="2" s="1"/>
  <c r="J92" i="2"/>
  <c r="I92" i="2" s="1"/>
  <c r="J91" i="2"/>
  <c r="I91" i="2" s="1"/>
  <c r="J90" i="2"/>
  <c r="I90" i="2" s="1"/>
  <c r="J89" i="2"/>
  <c r="I89" i="2" s="1"/>
  <c r="J88" i="2"/>
  <c r="I88" i="2" s="1"/>
  <c r="J87" i="2"/>
  <c r="I87" i="2" s="1"/>
  <c r="J86" i="2"/>
  <c r="I86" i="2" s="1"/>
  <c r="J85" i="2"/>
  <c r="I85" i="2" s="1"/>
  <c r="J84" i="2"/>
  <c r="I84" i="2" s="1"/>
  <c r="J83" i="2"/>
  <c r="I83" i="2" s="1"/>
  <c r="J82" i="2"/>
  <c r="I82" i="2" s="1"/>
  <c r="J81" i="2"/>
  <c r="I81" i="2" s="1"/>
  <c r="J80" i="2"/>
  <c r="I80" i="2" s="1"/>
  <c r="J79" i="2"/>
  <c r="I79" i="2" s="1"/>
  <c r="J78" i="2"/>
  <c r="I78" i="2" s="1"/>
  <c r="J77" i="2"/>
  <c r="I77" i="2" s="1"/>
  <c r="J76" i="2"/>
  <c r="I76" i="2" s="1"/>
  <c r="J75" i="2"/>
  <c r="I75" i="2" s="1"/>
  <c r="J74" i="2"/>
  <c r="I74" i="2" s="1"/>
  <c r="J73" i="2"/>
  <c r="I73" i="2" s="1"/>
  <c r="J72" i="2"/>
  <c r="I72" i="2" s="1"/>
  <c r="J71" i="2"/>
  <c r="I71" i="2" s="1"/>
  <c r="J70" i="2"/>
  <c r="I70" i="2" s="1"/>
  <c r="J69" i="2"/>
  <c r="I69" i="2" s="1"/>
  <c r="J68" i="2"/>
  <c r="I68" i="2" s="1"/>
  <c r="J67" i="2"/>
  <c r="I67" i="2" s="1"/>
  <c r="J66" i="2"/>
  <c r="I66" i="2" s="1"/>
  <c r="J65" i="2"/>
  <c r="I65" i="2" s="1"/>
  <c r="J64" i="2"/>
  <c r="I64" i="2" s="1"/>
  <c r="J63" i="2"/>
  <c r="I63" i="2" s="1"/>
  <c r="J62" i="2"/>
  <c r="I62" i="2" s="1"/>
  <c r="J61" i="2"/>
  <c r="I61" i="2" s="1"/>
  <c r="J60" i="2"/>
  <c r="I60" i="2" s="1"/>
  <c r="J59" i="2"/>
  <c r="I59" i="2" s="1"/>
  <c r="J58" i="2"/>
  <c r="I58" i="2" s="1"/>
  <c r="J57" i="2"/>
  <c r="I57" i="2" s="1"/>
  <c r="J56" i="2"/>
  <c r="I56" i="2" s="1"/>
  <c r="J55" i="2"/>
  <c r="I55" i="2" s="1"/>
  <c r="J54" i="2"/>
  <c r="I54" i="2" s="1"/>
  <c r="J53" i="2"/>
  <c r="I53" i="2" s="1"/>
  <c r="J52" i="2"/>
  <c r="I52" i="2" s="1"/>
  <c r="J51" i="2"/>
  <c r="I51" i="2" s="1"/>
  <c r="J50" i="2"/>
  <c r="I50" i="2" s="1"/>
  <c r="J49" i="2"/>
  <c r="I49" i="2" s="1"/>
  <c r="J48" i="2"/>
  <c r="I48" i="2" s="1"/>
  <c r="J47" i="2"/>
  <c r="I47" i="2" s="1"/>
  <c r="J46" i="2"/>
  <c r="I46" i="2" s="1"/>
  <c r="J45" i="2"/>
  <c r="I45" i="2" s="1"/>
  <c r="J44" i="2"/>
  <c r="I44" i="2" s="1"/>
  <c r="J43" i="2"/>
  <c r="I43" i="2" s="1"/>
  <c r="J42" i="2"/>
  <c r="I42" i="2" s="1"/>
  <c r="J41" i="2"/>
  <c r="I41" i="2" s="1"/>
  <c r="J40" i="2"/>
  <c r="I40" i="2" s="1"/>
  <c r="J39" i="2"/>
  <c r="I39" i="2" s="1"/>
  <c r="J38" i="2"/>
  <c r="I38" i="2" s="1"/>
  <c r="J37" i="2"/>
  <c r="I37" i="2" s="1"/>
  <c r="J36" i="2"/>
  <c r="I36" i="2" s="1"/>
  <c r="J35" i="2"/>
  <c r="I35" i="2" s="1"/>
  <c r="J34" i="2"/>
  <c r="I34" i="2" s="1"/>
  <c r="J33" i="2"/>
  <c r="I33" i="2" s="1"/>
  <c r="J32" i="2"/>
  <c r="I32" i="2" s="1"/>
  <c r="J31" i="2"/>
  <c r="I31" i="2" s="1"/>
  <c r="J30" i="2"/>
  <c r="I30" i="2" s="1"/>
  <c r="J29" i="2"/>
  <c r="I29" i="2" s="1"/>
  <c r="J28" i="2"/>
  <c r="I28" i="2" s="1"/>
  <c r="J27" i="2"/>
  <c r="I27" i="2" s="1"/>
  <c r="J26" i="2"/>
  <c r="I26" i="2" s="1"/>
  <c r="J25" i="2"/>
  <c r="I25" i="2" s="1"/>
  <c r="J24" i="2"/>
  <c r="I24" i="2" s="1"/>
  <c r="J23" i="2"/>
  <c r="I23" i="2" s="1"/>
  <c r="J22" i="2"/>
  <c r="I22" i="2" s="1"/>
  <c r="J21" i="2"/>
  <c r="I21" i="2" s="1"/>
  <c r="J20" i="2"/>
  <c r="I20" i="2" s="1"/>
  <c r="J19" i="2"/>
  <c r="I19" i="2" s="1"/>
  <c r="J18" i="2"/>
  <c r="I18" i="2" s="1"/>
  <c r="J17" i="2"/>
  <c r="I17" i="2" s="1"/>
  <c r="J16" i="2"/>
  <c r="I16" i="2" s="1"/>
  <c r="J15" i="2"/>
  <c r="I15" i="2" s="1"/>
  <c r="J14" i="2"/>
  <c r="I14" i="2" s="1"/>
  <c r="J13" i="2"/>
  <c r="I13" i="2" s="1"/>
  <c r="J12" i="2"/>
  <c r="I12" i="2" s="1"/>
  <c r="J11" i="2"/>
  <c r="I11" i="2" s="1"/>
  <c r="J10" i="2"/>
  <c r="I10" i="2" s="1"/>
  <c r="J9" i="2"/>
  <c r="I9" i="2" s="1"/>
  <c r="J8" i="2"/>
  <c r="I8" i="2" s="1"/>
  <c r="J7" i="2"/>
  <c r="I7" i="2" s="1"/>
  <c r="J6" i="2"/>
  <c r="I6" i="2" s="1"/>
</calcChain>
</file>

<file path=xl/sharedStrings.xml><?xml version="1.0" encoding="utf-8"?>
<sst xmlns="http://schemas.openxmlformats.org/spreadsheetml/2006/main" count="5316" uniqueCount="1308">
  <si>
    <t>HONG FU JIN PRECISION INDUSTRY(WUHAN) CO.,LTD</t>
  </si>
  <si>
    <t>CAUTION MESSAGES</t>
  </si>
  <si>
    <t>Product Code: STRATOS</t>
  </si>
  <si>
    <t>BOM Version: 0.2</t>
  </si>
  <si>
    <t>Phase: SI</t>
  </si>
  <si>
    <t>Description: MBD,Stratos,NVL-Q970,G3i Slim TWR,RoHS2.0+HF</t>
  </si>
  <si>
    <t>Date: 2026-10-13</t>
  </si>
  <si>
    <t>Sheet</t>
  </si>
  <si>
    <t>Item</t>
  </si>
  <si>
    <t>HF PN</t>
  </si>
  <si>
    <t>STD PN</t>
  </si>
  <si>
    <t>GRP PN</t>
  </si>
  <si>
    <t>Supplier</t>
  </si>
  <si>
    <t>Supplier PN</t>
  </si>
  <si>
    <t>Symptom</t>
  </si>
  <si>
    <t>Suggestion</t>
  </si>
  <si>
    <t>BILL    OF   MATERIAL</t>
  </si>
  <si>
    <t xml:space="preserve">Schematic Version: </t>
  </si>
  <si>
    <t xml:space="preserve">PCB Version: </t>
  </si>
  <si>
    <t>PCA PN: Q44394-001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</si>
  <si>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</si>
  <si>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</si>
  <si>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</si>
  <si>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</si>
  <si>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</si>
  <si>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</si>
  <si>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</si>
  <si>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</si>
  <si>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</si>
  <si>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</si>
  <si>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</si>
  <si>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</si>
  <si>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/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</si>
  <si>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</si>
  <si>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</si>
  <si>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</si>
  <si>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</si>
  <si>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</si>
  <si>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</si>
  <si>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</si>
  <si>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</si>
  <si>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</si>
  <si>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</si>
  <si>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521721U00-15M-G</t>
  </si>
  <si>
    <t>TVS,Ir(max)=0.1uA,Vc(typ)=7.5V@Ipp=16A,Vrwm(max)=5V,Vbr(min)=5.4V,30KV(air),30KV(contact),SOD523-2P,SMD,ROHS,HF</t>
  </si>
  <si>
    <t>SILERGY</t>
  </si>
  <si>
    <t>SYT21M05ANO</t>
  </si>
  <si>
    <t>611209V00-092-H</t>
  </si>
  <si>
    <t>Variable,Vrms=4V,Vdc=5.5V,Vv=9~19V,C=100pF,SMD0402,ROHS,HF</t>
  </si>
  <si>
    <t>INPAQ</t>
  </si>
  <si>
    <t>VPORT0402L101V05</t>
  </si>
  <si>
    <t>AD2,AD3,AD4,AD5,AD6,AD7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</si>
  <si>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</si>
  <si>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</si>
  <si>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</si>
  <si>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</si>
  <si>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</si>
  <si>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</si>
  <si>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</si>
  <si>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</si>
  <si>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72010H400-092-H</t>
  </si>
  <si>
    <t>FB,220 Ohm@100MHz,+/-25%,Irate=2A,DCR=90m Ohm,SMD0603,ROHS,HF</t>
  </si>
  <si>
    <t>MHC1608S221NBP</t>
  </si>
  <si>
    <t>AFB2,AFB100,AFB102</t>
  </si>
  <si>
    <t>72010H400-059-G</t>
  </si>
  <si>
    <t>FB,220 Ohm@100MHz,+/-25%,Irate=2.0A,DCR=90m Ohm,SMD0603,ROHS,HF</t>
  </si>
  <si>
    <t>TAI-TECH</t>
  </si>
  <si>
    <t>HCB1608VF-221T20R90</t>
  </si>
  <si>
    <t>72010N103-074-H</t>
  </si>
  <si>
    <t>FB,220 Ohm@100MHz,+/-25%,Irate=2.5A,DCR=40m Ohm,SMD0603,ROHS,HF</t>
  </si>
  <si>
    <t>CHILISIN</t>
  </si>
  <si>
    <t>BBUP00160808221Y00</t>
  </si>
  <si>
    <t>510100B00-JQ8-H</t>
  </si>
  <si>
    <t>TRANS NPN,PBSS4320T,VBE(sat)=1.2V,HFE=220,Vceo=20V,Ic(sat)=2A,SOT23-3P,SMD,ROHS,HF</t>
  </si>
  <si>
    <t>NEXPERIA</t>
  </si>
  <si>
    <t>PBSS4320T</t>
  </si>
  <si>
    <t>AQ1,AQ2,AQ20,AQ30</t>
  </si>
  <si>
    <t>510100B00-891-G</t>
  </si>
  <si>
    <t>BLUEROCKET</t>
  </si>
  <si>
    <t>51010JF00-237-G</t>
  </si>
  <si>
    <t>TRANS NPN,DSS4320T-7,VBE(sat)=1.2V,HFE=220,Vceo=20V,Ic(sat)=2A,SOT23-3P,SMD,ROHS,HF</t>
  </si>
  <si>
    <t>DIODES</t>
  </si>
  <si>
    <t>DSS4320T-7</t>
  </si>
  <si>
    <t>510700H00-400-H</t>
  </si>
  <si>
    <t>TRANS PNP,Dual,LMBT3906DW1T1G,VBE(sat)=-850mV,HFE=300,Vceo=-40V,Ic(sat)=-200mA,SOT363-6P,SMD,ROHS,HF</t>
  </si>
  <si>
    <t>LRC</t>
  </si>
  <si>
    <t>LMBT3906DW1T1G</t>
  </si>
  <si>
    <t>AQ3,AQ5</t>
  </si>
  <si>
    <t>510700600-891-G</t>
  </si>
  <si>
    <t>TRANS PNP,Dual,MMDT3906,VBE(sat)=-0.95V,HFE=300,Vceo=-40V,Ic(sat)=-200mA,SOT363-6P,SMD,ROHS,HF</t>
  </si>
  <si>
    <t>MMDT3906</t>
  </si>
  <si>
    <t>510700Q00-859-G</t>
  </si>
  <si>
    <t>TRANS PNP,Dual,MMDT3906-TP,VBE(sat)=-0.95V,HFE=300,Vceo=-40V,Ic(sat)=-200mA,SOT363-6P,SMD,ROHS,HF</t>
  </si>
  <si>
    <t>MCC</t>
  </si>
  <si>
    <t>MMDT3906-TP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</si>
  <si>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</si>
  <si>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</si>
  <si>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</si>
  <si>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</si>
  <si>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</si>
  <si>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521154F00-326-G</t>
  </si>
  <si>
    <t>LED,CLR,Yellow Green,Wavelength=575nm,Iv=45mcd@If=20mA,VF=2.35V,VR=5V,IF=25mA,SMD0603,ROHS,HF</t>
  </si>
  <si>
    <t>EVERLIGHT</t>
  </si>
  <si>
    <t>19E-213/G6C-BM1N2B/5T(HFX-1)</t>
  </si>
  <si>
    <t>521147U00-91T-H</t>
  </si>
  <si>
    <t>LED,CLR,Green,Wavelength=576nm,Iv=60mcd@If=15mA,VF=2.3V,VR=5V,SMD,ROHS,HF</t>
  </si>
  <si>
    <t>HONGBRIGHT</t>
  </si>
  <si>
    <t>H1608AG42A0C01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</si>
  <si>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</si>
  <si>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</si>
  <si>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</si>
  <si>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</si>
  <si>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521152900-366-G</t>
  </si>
  <si>
    <t>LED,CLR,White:Iv=220mcd@If=5mA,VF=3.15V,IF=25mA,Red:W=640nm,Iv=40mcd@If=5mA,VF=2.2V,VR=5V,IF=25mA,SMD1204,ROHS,HF</t>
  </si>
  <si>
    <t>PARA LIGHT</t>
  </si>
  <si>
    <t>LS115KRWDT-S60</t>
  </si>
  <si>
    <t>521151P00-326-G</t>
  </si>
  <si>
    <t>LED,CLR,White:Iv=112mcd@If=5mA,VF=3.7V,IF=10mA,Red:W=629.5nm,Iv=45mcd@If=5mA,VF=2.4V,VR=5V,IF=25mA,SMD1204,ROHS,HF</t>
  </si>
  <si>
    <t>12-22W/R6T1D-C30/2C(HFX-11)</t>
  </si>
  <si>
    <t>52111NB00-289-H</t>
  </si>
  <si>
    <t>LED,CLR,White,Iv=112mcd@If=5mA,VF=3.15V,VR=5V,IF=20mA,SMD1204,ROHS,HF</t>
  </si>
  <si>
    <t>LTW-110DC5-Q</t>
  </si>
  <si>
    <t>CR15</t>
  </si>
  <si>
    <t>521147T00-91T-H</t>
  </si>
  <si>
    <t>LED,White,Iv=500mcd@If=20mA,VF=3.7V,VR=5V,IF=30mA,SMD,ROHS,HF</t>
  </si>
  <si>
    <t>H3210BW32E0C03</t>
  </si>
  <si>
    <t>52114R700-326-G</t>
  </si>
  <si>
    <t>LED,CLR,White,Iv=112mcd@If=5mA,VF=3.4V,VR=5V,IF=20mA,SMD1204,ROHS,HF</t>
  </si>
  <si>
    <t>12-21C/T3D-CP1Q2B12Y/2C(HFX)</t>
  </si>
  <si>
    <t>52180NG00-262-H</t>
  </si>
  <si>
    <t>TVS-Array,Ir(max)=50nA,Vc(typ)=7V@Itlp=30A,Vrwm(max)=24V,Vbr(min)=27V,30KV(air),30KV(contact),WLCSP-2P,SMD,ROHS,HF</t>
  </si>
  <si>
    <t>AOS</t>
  </si>
  <si>
    <t>AOZ8S305BLS-24</t>
  </si>
  <si>
    <t>D1,D2,D3,D5,D12,D14</t>
  </si>
  <si>
    <t>521724100-31C-G</t>
  </si>
  <si>
    <t>TVS,Ir(max)=0.2uA,Vc(typ)=3.5V@Ipp=16A,Vrwm(max)=24V,Vbr(min)=25V,15KV(air),15KV(contact),DWN0603-2P,SMD,ROHS,HF</t>
  </si>
  <si>
    <t>ESD73571CZ-2/TR</t>
  </si>
  <si>
    <t>521720300-280-G</t>
  </si>
  <si>
    <t>TVS,Ir(max)=1uA,Vc(typ)=2.5V@Ipp=16A,Vrwm(max)=24V,Vbr(min)=25V,30KV(air),30KV(contact),DFN-2P,SMD,ROHS,HF</t>
  </si>
  <si>
    <t>PANJIT</t>
  </si>
  <si>
    <t>PS1A0M-D32</t>
  </si>
  <si>
    <t>52030S500-237-H</t>
  </si>
  <si>
    <t>DIODE,Schottky,Vf=1V,Vr=40V,If(max)=200mA,Ir(max)=200nA,SOT23-3P,SMD,ROHS,HF</t>
  </si>
  <si>
    <t>BAS40-05-7-F</t>
  </si>
  <si>
    <t>D4</t>
  </si>
  <si>
    <t>52032CD00-52N-G</t>
  </si>
  <si>
    <t>BENCENT</t>
  </si>
  <si>
    <t>BH-ST30240-05</t>
  </si>
  <si>
    <t>520323Y00-859-G</t>
  </si>
  <si>
    <t>BAS40-05-TP</t>
  </si>
  <si>
    <t>52170LV00-400-H</t>
  </si>
  <si>
    <t>TVS,Ir(max)=0.5uA,Vc(max)=20V@Ipp=4A,Vrwm(max)=5V,Vbr(min)=6V,15KV(air),8KV(contact),SOD882-2P,SMD,ROHS,HF</t>
  </si>
  <si>
    <t>LESD8LL5.0CT5G</t>
  </si>
  <si>
    <t>D6,D13,D7,D8,D57,D58</t>
  </si>
  <si>
    <t>52170JB00-31C-H</t>
  </si>
  <si>
    <t>TVS,Ir(max)=100nA,Vc(typ)=21V@Ipp=16A,Vrwm(max)=5.0V,Vbr(min)=7.5V,20KV(air),20KV(contact),DFN-2P,SMD,ROHS,HF</t>
  </si>
  <si>
    <t>ESD5311N-2/TR</t>
  </si>
  <si>
    <t>521720200-15M-G</t>
  </si>
  <si>
    <t>TVS,Ir(max)=0.1uA,Vc(typ)=11V@Ipp=16A,Vrwm(max)=5V,Vt1(min)=5.5V,30KV(air),30KV(contact),DFN-2P,SMD,ROHS,HF</t>
  </si>
  <si>
    <t>SYT21S05DWC</t>
  </si>
  <si>
    <t>52180BY00-940-H</t>
  </si>
  <si>
    <t>TVS-Array,Ir(max)=1uA,Vc(typ)=11.5V,Vrwm(max)=5V,Vbr(min)=5.8V,15KV(air),15KV(contact),SOT23-3P,SMD,ROHS,HF</t>
  </si>
  <si>
    <t>AZ5125-02S.R7G</t>
  </si>
  <si>
    <t>D9,D11,D59</t>
  </si>
  <si>
    <t>521810800-3SW-G</t>
  </si>
  <si>
    <t>TVS-Array,Ir(max)=0.2uA,Vc(typ)=10.8V@Ipp=16A,Vrwm(max)=5V,Vbr(min)=6V,30KV(air),30KV(contact),SOT23-3P,SMD,ROHS,HF</t>
  </si>
  <si>
    <t>APM</t>
  </si>
  <si>
    <t>AU0542S2L-F</t>
  </si>
  <si>
    <t>52180U600-52N-G</t>
  </si>
  <si>
    <t>TVS-Arry,Ir(max)=0.5uA,Vc(max)=12.5V@Ipp=6A,Vrwm(max)=5V,Vbr(min)=5.3V,25KV(air),25KV(contact),SOT23-3P,SMD,ROHS,HF</t>
  </si>
  <si>
    <t>BV-T305Z2CD</t>
  </si>
  <si>
    <t>52171P000-52N-G</t>
  </si>
  <si>
    <t>TVS,Ir(max)=0.1uA,Vcl(max)=32.4V@Ipp=12.3A,Vrwm(max)=20V,Vbr(min)=22.2V,30KV(air),30KV(contact),SOD123F-2P,SMD,ROHS,HF</t>
  </si>
  <si>
    <t>BV-D120ZH</t>
  </si>
  <si>
    <t>D10,D15,D60</t>
  </si>
  <si>
    <t>521718S00-859-G</t>
  </si>
  <si>
    <t>TVS,Ir(max)=1uA,Vc(max)=32.4V@Ipp=12.3A,Vrwm(max)=20V,Vbr(min)=22.2V,30KV(air),30KV(contact),SMD,ROHS,HF</t>
  </si>
  <si>
    <t>SM4F20A-TP</t>
  </si>
  <si>
    <t>52171NY00-400-G</t>
  </si>
  <si>
    <t>TVS,Ir(max)=1uA,Vcl(max)=32.4V@Ipp=12.3A,Vrwm(max)=20V,Vbr(min)=22.2V,30KV(air),30KV(contact),SOD123FL-2P,SMD,ROHS,HF</t>
  </si>
  <si>
    <t>P4SODJ20A-SH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</si>
  <si>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</si>
  <si>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</si>
  <si>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</si>
  <si>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</si>
  <si>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</si>
  <si>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521711V00-31C-G</t>
  </si>
  <si>
    <t>TVS,Ir(max)=50nA,Vc(typ)=18V@Ipp=16A,Vrwm(max)=12V,Vbr(min)=13V,30KV(air),30KV(contact),DFN0603-2P,SMD,ROHS,HF</t>
  </si>
  <si>
    <t>ESD54031Z-2/TR</t>
  </si>
  <si>
    <t>52171NJ00-52N-G</t>
  </si>
  <si>
    <t>TVS,Ir(max)=0.1uA,Vc(typ)=15.8V@Ipp=16A,Vrwm(max)=12V,Vbr(min)=13V,30KV(air),30KV(contact),DFN0603-2P,SMD,ROHS,HF</t>
  </si>
  <si>
    <t>BV-F612ZCB-AK</t>
  </si>
  <si>
    <t>3406CU300-GRT-H</t>
  </si>
  <si>
    <t>CONN,Header,1X2,2.0mm,Gold 15u inch,Black,SMD-2P,ROHS,HF</t>
  </si>
  <si>
    <t>PINREX</t>
  </si>
  <si>
    <t>222-H96-02SBEF</t>
  </si>
  <si>
    <t>E1,E21</t>
  </si>
  <si>
    <t>341429000-GVQ-H</t>
  </si>
  <si>
    <t>CONN,FPC,0.5mm,Gold Flash,Natural,SMD-6P,ROHS,HF</t>
  </si>
  <si>
    <t>ACES</t>
  </si>
  <si>
    <t>51536-00601-001</t>
  </si>
  <si>
    <t>E20</t>
  </si>
  <si>
    <t>341328S00-GVQ-H</t>
  </si>
  <si>
    <t>CONN,Board To Board,0.5mm,Gold Flash,Black,SMD-20P,ROHS,HF</t>
  </si>
  <si>
    <t>50044-02001-001</t>
  </si>
  <si>
    <t>E23</t>
  </si>
  <si>
    <t>34068BV00-GVQ-H</t>
  </si>
  <si>
    <t>CONN,Wire-to-Board Header,1.0mm,Gold 1u inch,Natural,SMD-5P,ROHS,HF</t>
  </si>
  <si>
    <t>50228-00571-003</t>
  </si>
  <si>
    <t>E24,E26</t>
  </si>
  <si>
    <t>341428T00-GVQ-G</t>
  </si>
  <si>
    <t>CONN,FPC,0.5mm,Gold 3u inch,White,SMD-20P,ROHS,HF</t>
  </si>
  <si>
    <t>50696-0200M-002</t>
  </si>
  <si>
    <t>E25</t>
  </si>
  <si>
    <t>51032CR00-400-H</t>
  </si>
  <si>
    <t>MOS N,LBSS139LT1G,Vdss=50V,Id(max)=200mA@Ta=25C,Ciss=50pF,VGS(th)=1.5V,3.5 Ohm@Vgs=5V,SOT23-3P,SMD,ROHS,HF</t>
  </si>
  <si>
    <t>LBSS139LT1G</t>
  </si>
  <si>
    <t>FQ900,FQ901,HQ1,HQ2,Q9,SQ2,XQ400</t>
  </si>
  <si>
    <t>510349F00-52N-G</t>
  </si>
  <si>
    <t>MOS N,BM-T360V02NE,Vdss=60V,Id(max)=200mA@Ta=25C,Ciss=22.8pF,VGS(th)=1.5V,2 Ohm@Vgs=5V,SOT23-3P,SMD,ROHS,HF</t>
  </si>
  <si>
    <t>BM-T360V02NE</t>
  </si>
  <si>
    <t>51033UU00-859-G</t>
  </si>
  <si>
    <t>MOS N,BSS138BK-TP,Vdss=50V,Id(max)=590mA@Ta=25C,Ciss=58pF,VGS(th)=1.5V,2.3Ohm@Vgs=4.5V,SOT23-3P,SMD,ROHS,HF</t>
  </si>
  <si>
    <t>BSS138BK-TP</t>
  </si>
  <si>
    <t>31100BH00-237-G</t>
  </si>
  <si>
    <t>IC,2-Bits BIDIRECTIONAL LEVEL TRANSLATOR,LSF0102HK3-7,DFN-8P,SMD,RoHS,HF</t>
  </si>
  <si>
    <t>LSF0102HK3-7</t>
  </si>
  <si>
    <t>FU900,VU104,XU301</t>
  </si>
  <si>
    <t>311005E00-183-G</t>
  </si>
  <si>
    <t>IC,2Channel Bidirectional Multi-Voltage Level Translator,LSF0102DQER,SON-8P,SMD,RoHS,HF</t>
  </si>
  <si>
    <t>TI</t>
  </si>
  <si>
    <t>LSF0102DQER</t>
  </si>
  <si>
    <t>31100C500-234-G</t>
  </si>
  <si>
    <t>IC,2CHANNEL AUTO-BIDIRECTIONAL MULTI-VOLTAGE LEVEL TRANSLATOR,ULSF0102AG-KAD-R,X2DFN1410-8P,SMD,RoHS,HF</t>
  </si>
  <si>
    <t>UTC</t>
  </si>
  <si>
    <t>ULSF0102AG-KAD-R</t>
  </si>
  <si>
    <t>521107U00-289-H</t>
  </si>
  <si>
    <t>LED,CLR,Orange,Wavelength=611nm,Iv=90mcd@If=20mA,VF=2.4V,VR=5V,IF=30mA,SMD0603,ROHS,HF</t>
  </si>
  <si>
    <t>LTST-C190KFKT</t>
  </si>
  <si>
    <t>HCR902</t>
  </si>
  <si>
    <t>521151K00-326-G</t>
  </si>
  <si>
    <t>LED,CLR,Orange,Wavelength=611nm,Iv=180mcd@If=20mA,VF=2.35V,VR=5V,SMD0603,ROHS,HF</t>
  </si>
  <si>
    <t>19-21/S2C-AQ1R2B/4T(HFX)</t>
  </si>
  <si>
    <t>52114AL00-91T-G</t>
  </si>
  <si>
    <t>LED,CLR,Amber,Wavelength=610nm,Iv=150mcd@If=20mA,VF=2.3V,VR=5V,IF=30mA,SMD0603,ROHS,HF</t>
  </si>
  <si>
    <t>H1608AA22E0C02</t>
  </si>
  <si>
    <t>52112UV00-289-H</t>
  </si>
  <si>
    <t>LED,CLR,Red,Wavelengh=639nm,Iv=54mcd@If=20mA,VF=2.4V,VR=5V,IF=30mA,SMD0603,ROHS,HF</t>
  </si>
  <si>
    <t>LTST-C191KRKT</t>
  </si>
  <si>
    <t>HCR903</t>
  </si>
  <si>
    <t>52114TL00-326-G</t>
  </si>
  <si>
    <t>LED,CLR,Red,Wavelengh=632nm,Iv=112mcd@If=20mA,VF=2.35V,VR=5V,IF=25mA,SMD0603,ROHS,HF</t>
  </si>
  <si>
    <t>19-213/R6C-AP1Q2B/5T</t>
  </si>
  <si>
    <t>52114B400-91T-H</t>
  </si>
  <si>
    <t>LED,CLR,Red,Iv=160mcd@If=15mA,VF=2.4V,VR=5V,IF=30mA,SMD,ROHS,HF</t>
  </si>
  <si>
    <t>H1608AV22A0C02</t>
  </si>
  <si>
    <t>630133900-092-H</t>
  </si>
  <si>
    <t>Chip Inductor,2.2uH@1MHz,+/-20%,Isat=2.7A,Irate=1.9A,DCR=104m Ohm,SHLD,SMD1008,ROHS,HF</t>
  </si>
  <si>
    <t>WIP252012P-2R2ML</t>
  </si>
  <si>
    <t>HL1</t>
  </si>
  <si>
    <t>63015D400-051-G</t>
  </si>
  <si>
    <t>Chip Inductor,2.2uH@2MHz,+/-20%,Isat=2.7A,Irate=1.9A,DCR=104m Ohm,SMD1008,ROHS,HF</t>
  </si>
  <si>
    <t>PULSE</t>
  </si>
  <si>
    <t>BDCC002520122R2MCT</t>
  </si>
  <si>
    <t>63014EP00-015-G</t>
  </si>
  <si>
    <t>Chip Inductor,2.2uH@1MHz,+/-20%,Isat=3.3A,Irate=2.3A,DCR=82m Ohm,SHLD,SMD1008,ROHS,HF</t>
  </si>
  <si>
    <t>MURATA</t>
  </si>
  <si>
    <t>DFE252012F-2R2M=P2</t>
  </si>
  <si>
    <t>51050VM00-400-G</t>
  </si>
  <si>
    <t>MOS N,Dual,L2N7002SDW1T1CG,Vdss=60V,Id(max)=320mA@Ta=25C,Ciss=35pF,VGS(th)=2V,3.2Ohm@Vgs=4.5V,SOT363-6P,SMD,ROHS,HF</t>
  </si>
  <si>
    <t>L2N7002SDW1T1CG</t>
  </si>
  <si>
    <t>51050NC00-859-G</t>
  </si>
  <si>
    <t>MOS N,Dual,Vdss=60V,Id(max)=340mA@Ta=25C,Ciss=40pF,VGS(th)=2.5V,5.3 Ohm@Vgs=4.5V,SOT363-6P,SMD,ROHS,HF</t>
  </si>
  <si>
    <t>2N7002KDW-TP</t>
  </si>
  <si>
    <t>51050QV00-891-H</t>
  </si>
  <si>
    <t>MOS N,Dual,BRD7002K2,Vdss=60V,Id(max)=250mA@Ta=25C,Ciss=50pF,VGS(th)=2.5V,2.7Ohm@Vgs=5V,SOT363-6P,SMD,ROHS,HF</t>
  </si>
  <si>
    <t>BRD7002K2</t>
  </si>
  <si>
    <t>51032BQ00-400-H</t>
  </si>
  <si>
    <t>MOS N,Dual,LBSS139DW1T1G,Vdss=50V,Id(max)=200mA@Ta=25C,Ciss=22.8pF,VGS(th)=1.5V,3.5Ohm@Vgs=5V,SOT363-6P,SMD,ROHS,HF</t>
  </si>
  <si>
    <t>LBSS139DW1T1G</t>
  </si>
  <si>
    <t>HQ904</t>
  </si>
  <si>
    <t>51050Y700-52N-G</t>
  </si>
  <si>
    <t>MOS N,Dual,BM-E650V022NE,Vdss=50V,Id(max)=220mA@Ta=25C,Ciss=22.8pF,VGS(th)=1.45V,4Ohm@Vgs=4.5V,SOT363-6P,SMD,ROHS,HF</t>
  </si>
  <si>
    <t>BM-E650V022NE</t>
  </si>
  <si>
    <t>51050U900-859-G</t>
  </si>
  <si>
    <t>MOS N,Dual,BSS138BKDW-TP,Vdss=50V,Id(max)=220mA@Ta=25C,Ciss=22.8pF,VGS(th)=1.45V,2.3Ohm@Vgs=4.5V,SOT363-6P,SMD,ROHS,HF</t>
  </si>
  <si>
    <t>BSS138BKDW-TP</t>
  </si>
  <si>
    <t>51040PM00-400-G</t>
  </si>
  <si>
    <t>MOS P,LBSS84LT1G,Vdss=-50V,Id(max)=-130mA@Ta=25C,Ciss=30pF,VGS(th)=-2.0V,10 Ohm@Vgs=-5V,SOT23-3P,SMD,ROHS</t>
  </si>
  <si>
    <t>LBSS84LT1G</t>
  </si>
  <si>
    <t>HQ907</t>
  </si>
  <si>
    <t>31010LL00-237-H</t>
  </si>
  <si>
    <t>IC,Single Buffer/Driver With Open-Drain Output,74LVC1G07SE-7,SOT353-5P,SMD,ROHS,HF</t>
  </si>
  <si>
    <t>74LVC1G07SE-7</t>
  </si>
  <si>
    <t>HU2</t>
  </si>
  <si>
    <t>310510B00-400-G</t>
  </si>
  <si>
    <t>IC,Buffer with open-drain output,LR74LVC1G07GW,SOT353-5P,SMD,RoHS,HF</t>
  </si>
  <si>
    <t>LR74LVC1G07GW</t>
  </si>
  <si>
    <t>31050RR00-234-G</t>
  </si>
  <si>
    <t>IC,BUFFER/DRIVER WITH OPEN-DRAIN OUTPUT,U74LVC1G07G-AL5-R,SOT353-5P,SMD,RoHS,HF</t>
  </si>
  <si>
    <t>U74LVC1G07G-AL5-R</t>
  </si>
  <si>
    <t>31010VF00-183-H</t>
  </si>
  <si>
    <t>IC,Low-Power Configurable Multiple-Function Gate,SN74AUP1G97DCKR,SC70-6P,SMD,ROHS,HF</t>
  </si>
  <si>
    <t>SN74AUP1G97DCKR</t>
  </si>
  <si>
    <t>310114Q00-234-G</t>
  </si>
  <si>
    <t>IC,LOW-POWER CONFIGURABLE MULTIPLE-FUNCTION GATE,U74AUP1G97G-AL6-R,SOT363-6P,SMD,RoHS,HF</t>
  </si>
  <si>
    <t>U74AUP1G97G-AL6-R</t>
  </si>
  <si>
    <t>31010VK00-JQ8-G</t>
  </si>
  <si>
    <t>IC,Low-power Configurable Multiple Function Gate,74AUP1G97GW,SOT363-6P,SMD,ROHS,HF</t>
  </si>
  <si>
    <t>74AUP1G97GW</t>
  </si>
  <si>
    <t>310202H00-JQ8-G</t>
  </si>
  <si>
    <t>IC,Single D-type Flip-Flop With Set And Reset,Positive Edge Trigger,74LVC1G74DC,VSSOP-8P,SMD,ROHS,HF</t>
  </si>
  <si>
    <t>74LVC1G74DC</t>
  </si>
  <si>
    <t>HU7</t>
  </si>
  <si>
    <t>31020AU00-131-H</t>
  </si>
  <si>
    <t>IC,D-Type Flip Flop with Preset and Clear,TC7WZ74FK,LJ(CT,SOT765-8P,SMD,RoHS,HF</t>
  </si>
  <si>
    <t>TOSHIBA</t>
  </si>
  <si>
    <t>TC7WZ74FK,LJ(CT</t>
  </si>
  <si>
    <t>310202J00-223-H</t>
  </si>
  <si>
    <t>IC,Single D Flip-Flop,NL17SZ74USG,US-8P,SMD,ROHS,HF</t>
  </si>
  <si>
    <t>ONSEMI</t>
  </si>
  <si>
    <t>NL17SZ74USG</t>
  </si>
  <si>
    <t>31010NK00-237-H</t>
  </si>
  <si>
    <t>IC,Single Schmitt-Trigger Inverter,74LVC1G14W5-7,SOT25-5P,SMD,ROHS,HF</t>
  </si>
  <si>
    <t>74LVC1G14W5-7</t>
  </si>
  <si>
    <t>HU8</t>
  </si>
  <si>
    <t>310209J00-JQ8-H</t>
  </si>
  <si>
    <t>IC,Single Schmitt-Trigger Inverter,74LVC1G14GV,SOT753-5P,SMD,ROHS,HF</t>
  </si>
  <si>
    <t>74LVC1G14GV</t>
  </si>
  <si>
    <t>310117Q00-131-G</t>
  </si>
  <si>
    <t>IC,Schmitt Inverter,TC7SZ14F,LJ(CT,SOT25-5P,SMD,ROHS,HF</t>
  </si>
  <si>
    <t>TC7SZ14F,LJ(CT</t>
  </si>
  <si>
    <t>31010NT00-183-H</t>
  </si>
  <si>
    <t>IC,Low-Power Single 2-Input Positive-OR Gate,SN74AUP1G32DCKR,SC70-5P,SMD,RoHS,HF</t>
  </si>
  <si>
    <t>SN74AUP1G32DCKR</t>
  </si>
  <si>
    <t>HU9,SU800</t>
  </si>
  <si>
    <t>310114B00-234-G</t>
  </si>
  <si>
    <t>IC,SINGLE 2-INPUT OR GATE,U74AUP1G32G-AL5-R,SOT353-5P,SMD,RoHS,HF</t>
  </si>
  <si>
    <t>U74AUP1G32G-AL5-R</t>
  </si>
  <si>
    <t>310112700-237-H</t>
  </si>
  <si>
    <t>IC,SINGLE 2 INPUT POSITIVE OR GATE,74AUP1G32SE-7,SOT353-5P,SMD,RoHS,HF</t>
  </si>
  <si>
    <t>74AUP1G32SE-7</t>
  </si>
  <si>
    <t>3406LDQ00-GVQ-G</t>
  </si>
  <si>
    <t>CONN,Wire-to-Board Header,1mm,Tin,Black,SMD-14P,ROHS,HF</t>
  </si>
  <si>
    <t>50238-0144N-001</t>
  </si>
  <si>
    <t>J7</t>
  </si>
  <si>
    <t>2A6510P00-GB3-H</t>
  </si>
  <si>
    <t>Screw,Diameter:5.0mm,High:5.5mm,SMD,ROHS,HF</t>
  </si>
  <si>
    <t>RONNIE</t>
  </si>
  <si>
    <t>50-4020-55</t>
  </si>
  <si>
    <t>J38N</t>
  </si>
  <si>
    <t>2A6510V00-HYE-H</t>
  </si>
  <si>
    <t>SCREWTECH</t>
  </si>
  <si>
    <t>MAHMH200550T-NMT</t>
  </si>
  <si>
    <t>2A6510U00-HF2-H</t>
  </si>
  <si>
    <t>CUNJIN</t>
  </si>
  <si>
    <t>302C0303115</t>
  </si>
  <si>
    <t>340318E00-600-H</t>
  </si>
  <si>
    <t>CONN,NGFF,0.5mm,Gold 10u inch,Black,SMD-67P,ROHS,HF</t>
  </si>
  <si>
    <t>FOXCONN</t>
  </si>
  <si>
    <t>AS0BC26-S40BE-7H</t>
  </si>
  <si>
    <t>J38</t>
  </si>
  <si>
    <t>34033Y100-GRS-G</t>
  </si>
  <si>
    <t>CONN,NGFF,Key-E,Gen4,0.5mm,Gold 10u inch,Black,SMD-67P,ROHS,HF</t>
  </si>
  <si>
    <t>LOTES</t>
  </si>
  <si>
    <t>APCIA376-P002T00CC</t>
  </si>
  <si>
    <t>340326200-38K-H</t>
  </si>
  <si>
    <t>CONN,NGFF,Key-E,0.5mm,Gold 10u inch,Black,SMD-67P,ROHS,HF</t>
  </si>
  <si>
    <t>DEREN</t>
  </si>
  <si>
    <t>562106-016H</t>
  </si>
  <si>
    <t>34032M100-67Y-H</t>
  </si>
  <si>
    <t>CONN,Slot,PCIE-X16,1.0mm,Gold 15u inch,Black,SMD-164P,ROHS,HF</t>
  </si>
  <si>
    <t>FIT</t>
  </si>
  <si>
    <t>2EH5827-889BN-8H</t>
  </si>
  <si>
    <t>J41</t>
  </si>
  <si>
    <t>34034Q300-38K-G</t>
  </si>
  <si>
    <t>CONN,Slot,PCIE-X16,Gen5,1.0mm,Gold 15u inch,Black,SMD-164P,ROHS,HF</t>
  </si>
  <si>
    <t>564ZD4-044H2812</t>
  </si>
  <si>
    <t>340334400-62G-G</t>
  </si>
  <si>
    <t>JOINSOON</t>
  </si>
  <si>
    <t>121P-C6TB-J9BT</t>
  </si>
  <si>
    <t>34048PK00-67Y-G</t>
  </si>
  <si>
    <t>CONN,JACK,Audio,HDA,AUDX1,Dia=3.6mm,Gold 15u inch,Black,SMD-6P,ROHS,HF</t>
  </si>
  <si>
    <t>JA4113C-34B0B-7H</t>
  </si>
  <si>
    <t>J76</t>
  </si>
  <si>
    <t>34048RV00-16H-G</t>
  </si>
  <si>
    <t>CONN,JACK,Audio,HDA,AUDX1,Dia=3.5mm,Gold 15u inch,Black,DIP-6P,ROHS,HF</t>
  </si>
  <si>
    <t>FREEPORT</t>
  </si>
  <si>
    <t>69L06S-37R0082HF</t>
  </si>
  <si>
    <t>34048RE00-62G-G</t>
  </si>
  <si>
    <t>CONN,JACK,Audio,HDA,AUDX1,Dia=3.6mm,Gold 15u inch,Black,DIP-6P,ROHS,HF</t>
  </si>
  <si>
    <t>12HJ-K10B-001R</t>
  </si>
  <si>
    <t>34046HN00-600-H</t>
  </si>
  <si>
    <t>CONN,I/O Port,USB3.1X1,1mm,Gold 15u inch,Black,SMD-10P,ROHS,HF</t>
  </si>
  <si>
    <t>UAA1517-43452-7H</t>
  </si>
  <si>
    <t>J80,J81</t>
  </si>
  <si>
    <t>34047DU00-16H-H</t>
  </si>
  <si>
    <t>3AU09S-37R4033HF</t>
  </si>
  <si>
    <t>34046LD00-H59-H</t>
  </si>
  <si>
    <t>SINGATRON</t>
  </si>
  <si>
    <t>2UB2Y90-333111F</t>
  </si>
  <si>
    <t>340483L00-67Y-G</t>
  </si>
  <si>
    <t>CONN,I/O Port,Type-C,0.5mm,Gold 30u inch,Black,SMD-24P,ROHS,HF</t>
  </si>
  <si>
    <t>UT11113-0340F-7H</t>
  </si>
  <si>
    <t>J90,J91,J93</t>
  </si>
  <si>
    <t>34048B600-GRS-G</t>
  </si>
  <si>
    <t>AUSBA310-P001ACC</t>
  </si>
  <si>
    <t>34048AA00-H59-G</t>
  </si>
  <si>
    <t>2UB2Y28-C10111F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</si>
  <si>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</si>
  <si>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</si>
  <si>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</si>
  <si>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</si>
  <si>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</si>
  <si>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</si>
  <si>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</si>
  <si>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</si>
  <si>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</si>
  <si>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</si>
  <si>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</si>
  <si>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32025KS00-237-H</t>
  </si>
  <si>
    <t>IC,2.0A SINGLE CHANNEL POWER DISTRIBUTION LOAD SWITCH,AP22818AKEWT-7,TSOT-5P,SMD,RoHS,HF</t>
  </si>
  <si>
    <t>AP22818AKEWT-7</t>
  </si>
  <si>
    <t>UU1,U42,U51</t>
  </si>
  <si>
    <t>320287600-31C-G</t>
  </si>
  <si>
    <t>IC,75mohm,Current Limited,High-Side Power Switches,WS4618EDA-5/TR,SOT23-5P,SMD,RoHS,HF</t>
  </si>
  <si>
    <t>WS4618EDA-5/TR</t>
  </si>
  <si>
    <t>32027UV00-2U4-G</t>
  </si>
  <si>
    <t>IC,Single Power Switch with Flag,ITP1133-2SOTA,SOT23-5P,SMD,RoHS,HF</t>
  </si>
  <si>
    <t>ITG SEMI</t>
  </si>
  <si>
    <t>ITP1133-2SOTA</t>
  </si>
  <si>
    <t>720409L00-024-H</t>
  </si>
  <si>
    <t>Common Filter,9 Ohm@100MHz,+/-3 Ohm,Irate=100mA,DCR=2.5 Ohm,2Line,SMD,ROHS,HF</t>
  </si>
  <si>
    <t>PANASONIC</t>
  </si>
  <si>
    <t>EXCX4CZ090X</t>
  </si>
  <si>
    <t>L1,L5,L7,L9,L33,L34,L35,L36,L37,L38,L39,L40</t>
  </si>
  <si>
    <t>72040C700-015-H</t>
  </si>
  <si>
    <t>Common Filter,9 Ohm@100MHz,+/-25%,Irate=100mA,DCR=2.375 Ohm,2Line,SMD0.65X0.5mm,ROHS,HF</t>
  </si>
  <si>
    <t>NFG0QHB372HS2D</t>
  </si>
  <si>
    <t>72040AH00-092-H</t>
  </si>
  <si>
    <t>Common Filter,90 Ohm@100MHz,+/-25%,Irate=300mA,DCR=600m Ohm,2Line,SMD0504,ROHS,HF</t>
  </si>
  <si>
    <t>MCM1012B900F06BE</t>
  </si>
  <si>
    <t>L2,L3,L6</t>
  </si>
  <si>
    <t>720402K00-059-H</t>
  </si>
  <si>
    <t>MCF1210BF2-900T03</t>
  </si>
  <si>
    <t>72040F500-051-G</t>
  </si>
  <si>
    <t>Common Filter,90 Ohm@100MHz,+/-25%,Irate=500mA,DCR=300m Ohm,2Line,SMD0504,ROHS,HF</t>
  </si>
  <si>
    <t>BWCU00121008900Y04</t>
  </si>
  <si>
    <t>2A6515G00-GB3-H</t>
  </si>
  <si>
    <t>Screw,Diameter:4.0mm,High:6.4mm,SMD,ROHS,HF</t>
  </si>
  <si>
    <t>40-2020-64-R522</t>
  </si>
  <si>
    <t>NUT3,NUT4</t>
  </si>
  <si>
    <t>2A6510F00-HF2-H</t>
  </si>
  <si>
    <t>302C0301080</t>
  </si>
  <si>
    <t>2A6515N00-HYE-H</t>
  </si>
  <si>
    <t>MRHMJ200640T-NMT</t>
  </si>
  <si>
    <t>T-STRATOSDB-575-G</t>
  </si>
  <si>
    <t>6-Layer PCB,Color With Red Soldermask,Yellow Silkscreen,NPG 151,300.05*185*1.55mm,Rev X1,ROHS,HF</t>
  </si>
  <si>
    <t>PI</t>
  </si>
  <si>
    <t>HP10071065</t>
  </si>
  <si>
    <t>PCB1</t>
  </si>
  <si>
    <t>T-STRATOSDB-535-G</t>
  </si>
  <si>
    <t>6-Layer PCB,Color With Red Soldermask,Yellow Silkscreen,NPG-151,300.05*185*1.55mm,Rev X1,ROHS,HF</t>
  </si>
  <si>
    <t>HANNSTAR</t>
  </si>
  <si>
    <t>15C0170-1</t>
  </si>
  <si>
    <t>T-STRATOSDB-599-G</t>
  </si>
  <si>
    <t>6-Layer PCB,Color  With Dark Blue Soldermask,White Silkscreen,NPG-151,300.05*185*1.55mm,Rev X1,ROHS,HF</t>
  </si>
  <si>
    <t>TRUSTECH</t>
  </si>
  <si>
    <t>KE027-263A</t>
  </si>
  <si>
    <t>T-STRATOSDB-491-G</t>
  </si>
  <si>
    <t>GBM</t>
  </si>
  <si>
    <t>Q183-6841-V1.0</t>
  </si>
  <si>
    <t>621208102-31N-H</t>
  </si>
  <si>
    <t>CPCAP,470uF,+/-20%,2V,2000hs,-55~+105C,I(ripple)=3.8A,ESR=4.5m Ohm,SMD7.3X4.3,ROHS,HF</t>
  </si>
  <si>
    <t>APAQ</t>
  </si>
  <si>
    <t>ACAH2R0S471E04</t>
  </si>
  <si>
    <t>62120E400-024-H</t>
  </si>
  <si>
    <t>SPCAP,470uF,+/-20%,2.5V,2000hs,-40~+105C,I(ripple)=4A,ESR=4.5m Ohm,SMD2816,ROHS,HF</t>
  </si>
  <si>
    <t>EEFSX0E471E4</t>
  </si>
  <si>
    <t>621203Q00-31N-G</t>
  </si>
  <si>
    <t>CPCAP,220uF,+/-20%,6.3V,2000hs,-55~+105C,I(ripple)=5.1A,ESR=15m Ohm,SMD7.3X4.3,ROHS,HF</t>
  </si>
  <si>
    <t>ACAS6R3S221E15</t>
  </si>
  <si>
    <t>621203Q01-024-G</t>
  </si>
  <si>
    <t>CPCAP,220uF,+/-20%,6.3V,2000hs,-40~+105C,I(ripple)=5.1A,ESR=15m Ohm,SMD7.3X4.3,ROHS,HF</t>
  </si>
  <si>
    <t>EEFCX0J221R</t>
  </si>
  <si>
    <t>520307E00-400-H</t>
  </si>
  <si>
    <t>DIODE,Schottky,Vf=1V,Vr=30V,If(max)=200mA,Ir(max)=2uA,SOD323-2P,SMD,ROHS,HF</t>
  </si>
  <si>
    <t>LBAT54HT1G</t>
  </si>
  <si>
    <t>52032CG00-52N-G</t>
  </si>
  <si>
    <t>DIODE,Schottky,Vf=0.8V,Vr=30V,If(max)=200mA,Ir(max)=2uA,SOD323-2P,SMD,ROHS,HF</t>
  </si>
  <si>
    <t>BH-SD30230</t>
  </si>
  <si>
    <t>52031FW00-859-H</t>
  </si>
  <si>
    <t>BAT54WS-TP</t>
  </si>
  <si>
    <t>720107Y01-074-H</t>
  </si>
  <si>
    <t>FB,30 Ohm@100MHz,+/-25%,Irate=6A,DCR=12m Ohm,SMD0805,ROHS,HF</t>
  </si>
  <si>
    <t>BBUP00201209300Y00</t>
  </si>
  <si>
    <t>72010AC01-059-H</t>
  </si>
  <si>
    <t>FB,30 Ohm@100MHz,+/-25%,Irate=6A,DCR=10m Ohm,SMD0805,ROHS,HF</t>
  </si>
  <si>
    <t>FHB2012KF-300T60</t>
  </si>
  <si>
    <t>72010A700-092-G</t>
  </si>
  <si>
    <t>FB,30 Ohm@100MHz,+/-25%,Irate=6A,DCR=15m Ohm,SMD0805,ROHS,HF</t>
  </si>
  <si>
    <t>MHC2012S300WBP</t>
  </si>
  <si>
    <t>720104100-074-H</t>
  </si>
  <si>
    <t>FB,60 Ohm@100MHz,+/-25%,Irate=3A,DCR=30m Ohm,SMD0805,ROHS,HF</t>
  </si>
  <si>
    <t>PBY201209T-600Y-N</t>
  </si>
  <si>
    <t>PFB300,PFB330,PFB470,PFB520,PFB560</t>
  </si>
  <si>
    <t>720102E00-092-G</t>
  </si>
  <si>
    <t>FB,60 Ohm@100MHz,+/-25%,Irate=3000mA,DCR=40m Ohm,SMD0805,ROHS,HF</t>
  </si>
  <si>
    <t>MHC2012S600QBP</t>
  </si>
  <si>
    <t>720102E00-059-H</t>
  </si>
  <si>
    <t>FB,60 Ohm@100MHz,+/-25%,Irate=3A,DCR=40m Ohm,SMD0805,ROHS,HF</t>
  </si>
  <si>
    <t>HCB2012KF-600T30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</si>
  <si>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</si>
  <si>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</si>
  <si>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</si>
  <si>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</si>
  <si>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</si>
  <si>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</si>
  <si>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</si>
  <si>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72010NJ00-059-H</t>
  </si>
  <si>
    <t>HCB1608KF-300T30</t>
  </si>
  <si>
    <t>63039CE00-051-G</t>
  </si>
  <si>
    <t>Power Choke,100nH@100KHz,+/-20%,Isat=60A,Irate=40A,DCR=0.62m Ohm,SHLD,SMD,ROHS,HF</t>
  </si>
  <si>
    <t>BMMJ00070740R10MR1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</si>
  <si>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</si>
  <si>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</si>
  <si>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</si>
  <si>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</si>
  <si>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</si>
  <si>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</si>
  <si>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</si>
  <si>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</si>
  <si>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</si>
  <si>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</si>
  <si>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</si>
  <si>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</si>
  <si>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630392V00-83L-G</t>
  </si>
  <si>
    <t>PL060640X1R5MT02-STQF</t>
  </si>
  <si>
    <t>63037CE00-67M-H</t>
  </si>
  <si>
    <t>Power Choke,1.5uH@100KHz,+/-20%,Isat=17A,Irate=11A,DCR=8.5m Ohm,SHLD,SMD,ROHS,HF</t>
  </si>
  <si>
    <t>SICP0640S-1R5M-HH2W</t>
  </si>
  <si>
    <t>630391J00-051-G</t>
  </si>
  <si>
    <t>Power Choke,470nH@100KHz,+/-20%,Isat=27A,Irate=22A,DCR=2.9m Ohm,SHLD,SMD,ROHS,HF</t>
  </si>
  <si>
    <t>BMMF00060640R47MR2</t>
  </si>
  <si>
    <t>PL470</t>
  </si>
  <si>
    <t>630393C00-67M-G</t>
  </si>
  <si>
    <t>Power Choke,470nH@100KHz,+/-20%,Isat=25A,Irate=21A,DCR=2.63m Ohm,SHLD,SMD,ROHS,HF</t>
  </si>
  <si>
    <t>SICP0640S-R47M-HH3W</t>
  </si>
  <si>
    <t>630392U00-83L-G</t>
  </si>
  <si>
    <t>PL060640XR47MT01-SVQF</t>
  </si>
  <si>
    <t>6303A1U00-051-G</t>
  </si>
  <si>
    <t>Power Choke,220nH@100KHz,+/-20%,Isat=50A,Irate=35A,DCR=800u Ohm,SHLD,SMD,ROHS,HF</t>
  </si>
  <si>
    <t>BMMAGX060640R22MI1</t>
  </si>
  <si>
    <t>PL500</t>
  </si>
  <si>
    <t>630388Y00-67M-G</t>
  </si>
  <si>
    <t>SICP0640S-R22M-HH3W</t>
  </si>
  <si>
    <t>630388Y00-83L-G</t>
  </si>
  <si>
    <t>Power Choke,220nH@100KHz,+/-20%,Isat=50A,Irate=35A,DCR=800u Ohm,SHLD,SMD,ROHS</t>
  </si>
  <si>
    <t>PL060640XR22MT04-SVQF</t>
  </si>
  <si>
    <t>63039GG00-051-G</t>
  </si>
  <si>
    <t>Power Choke,330nH@100KHz,+/-20%,Isat=40A,Irate=38A,DCR=1.4m Ohm,SHLD,SMD,ROHS,HF</t>
  </si>
  <si>
    <t>BMMAGX060640R33MI3</t>
  </si>
  <si>
    <t>PL525</t>
  </si>
  <si>
    <t>63039PV00-83L-G</t>
  </si>
  <si>
    <t>Power Choke,330nH@1MHz,+/-20%,Isat=40A,Irate=38A,DCR=1.4m Ohm,SHLD,SMD,ROHS,HF</t>
  </si>
  <si>
    <t>PL060640CR33MT15-SVQF</t>
  </si>
  <si>
    <t>63039GG00-67M-G</t>
  </si>
  <si>
    <t>SICP0640S-R33M-HH3W</t>
  </si>
  <si>
    <t>63039Q100-051-G</t>
  </si>
  <si>
    <t>Power Choke,150nH@100KHz,+/-15%,Isat=70A,Irate=40A,DCR=660u Ohm,SHLD,SMD,ROHS,HF</t>
  </si>
  <si>
    <t>BMCBGX070740R15LAG</t>
  </si>
  <si>
    <t>PL785</t>
  </si>
  <si>
    <t>63039VB00-045-G</t>
  </si>
  <si>
    <t>TRIO</t>
  </si>
  <si>
    <t>EM-15BL35VC1</t>
  </si>
  <si>
    <t>63039Q100-67M-G</t>
  </si>
  <si>
    <t>SICP0704S-R15L-HH2W</t>
  </si>
  <si>
    <t>63012YF00-015-G</t>
  </si>
  <si>
    <t>LQM18PN1R0MFHD</t>
  </si>
  <si>
    <t>PL801</t>
  </si>
  <si>
    <t>63015FK00-023-G</t>
  </si>
  <si>
    <t>Chip Inductor,1.0uH@1MHz,+/-20%,Isat=2.2A,Irate=1.6A,DCR=110m Ohm,SMD0603,ROHS,HF</t>
  </si>
  <si>
    <t>TAIYO</t>
  </si>
  <si>
    <t>LSCNB1608HKT1R0MD</t>
  </si>
  <si>
    <t>63015D300-051-G</t>
  </si>
  <si>
    <t>Chip Inductor,1.0uH@3MHz,+/-20%,Isat=500mA,Irate=1.3A,DCR=130m Ohm,SMD0603,ROHS,HF</t>
  </si>
  <si>
    <t>BKPE001608DZ1R0MA6</t>
  </si>
  <si>
    <t>6303A2C00-67M-G</t>
  </si>
  <si>
    <t>Power Choke,1.5uH@100KHz,+/-20%,Isat=28A,Irate=25A,DCR=2.6m Ohm,SHLD,SMD,ROHS,HF</t>
  </si>
  <si>
    <t>SICP1050S-1R5M-HH4W</t>
  </si>
  <si>
    <t>PL935</t>
  </si>
  <si>
    <t>6303A4U00-83L-G</t>
  </si>
  <si>
    <t>Power Choke,1.5uH@1MHz,+/-20%,Isat=28A,Irate=22A,DCR=2.6m Ohm,SHLD,SMD,ROHS,HF</t>
  </si>
  <si>
    <t>PL101050C1R5MT06-SVQF</t>
  </si>
  <si>
    <t>63039P800-83L-G</t>
  </si>
  <si>
    <t>Power Choke,1.5uH@1MHz,+/-20%,Isat=30A,Irate=18A,DCR=4.2m Ohm,SHLD,SMD,ROHS,HF</t>
  </si>
  <si>
    <t>PL101040X1R5MT07-SVQF</t>
  </si>
  <si>
    <t>PL945</t>
  </si>
  <si>
    <t>63039S100-67M-G</t>
  </si>
  <si>
    <t>Power Choke,1.5uH@100KHz,+/-20%,Isat=30A,Irate=18A,DCR=4.2m Ohm,SHLD,SMD,ROHS,HF</t>
  </si>
  <si>
    <t>SICP1040N-1R5M-HH3W</t>
  </si>
  <si>
    <t>63039S100-045-G</t>
  </si>
  <si>
    <t>EM-15AM08VC9</t>
  </si>
  <si>
    <t>51032C400-400-H</t>
  </si>
  <si>
    <t>MOS N,L2N7002SLT1G,Vdss=60V,Id(max)=320mA@Ta=25C,Ciss=21pF,VGS(th)=2V,3.2 Ohm@Vgs=4.5V,SOT23-3P,SMD,ROHS,HF</t>
  </si>
  <si>
    <t>L2N7002SLT1G</t>
  </si>
  <si>
    <t>PQ713,PQ714,PQ716,Q11,SQ5,SQ9,SQ14,SQ801</t>
  </si>
  <si>
    <t>51032A600-237-H</t>
  </si>
  <si>
    <t>MOS N,DMN65D8L-7,Vdss=60V,Id(max)=310mA@Ta=25C,Ciss=22pF,VGS(th)=2V,4 Ohm@Vgs=5V,SOT23-3P,SMD,ROHS,HF</t>
  </si>
  <si>
    <t>DMN65D8L-7</t>
  </si>
  <si>
    <t>51034AH00-3L3-G</t>
  </si>
  <si>
    <t>MOS N,JMTL2N7002KS-P,Vdss=60V,Id(max)=400mA@Ta=25C,Ciss=18.5pF,VGS(th)=2V,2.87Ohm@Vgs=4.5V,SOT23-3P,SMD,ROHS,HF</t>
  </si>
  <si>
    <t>JJWDZ</t>
  </si>
  <si>
    <t>JMTL2N7002KS-P</t>
  </si>
  <si>
    <t>51033R400-859-G</t>
  </si>
  <si>
    <t>MOS N,2N7002KS-TP,Vdss=60V,Id(max)=340mA@Ta=25C,Ciss=27pF,VGS(th)=2.5V,3Ohm@Vgs=4.5V,SOT23-3P,SMD,ROHS,HF</t>
  </si>
  <si>
    <t>2N7002KS-TP</t>
  </si>
  <si>
    <t>51050J000-293-H</t>
  </si>
  <si>
    <t>MOS N,Dual,Vdss=30V,VGS(th)=2.3V,Q1/Q2:Id(max)=36/83A@Tc=25C,Ciss=531/3685pF,14/3.8m Ohm@Vgs=4.5V,PDFN-8P,SMD,ROHS,HF</t>
  </si>
  <si>
    <t>NIKO</t>
  </si>
  <si>
    <t>PK650DY</t>
  </si>
  <si>
    <t>510509Q00-223-G</t>
  </si>
  <si>
    <t>MOS N,Dual,Vdss=30V,Q1/Q2:VGS(th)=2.7/3V,Id(max)=30/40A@Tc=25C,Ciss=1785/4310pF,11/3.5m Ohm@Vgs=4.5V,Power56-8P,SMD,ROHS,HF</t>
  </si>
  <si>
    <t>FDMS3604S</t>
  </si>
  <si>
    <t>51050RM00-262-G</t>
  </si>
  <si>
    <t>MOS N,Dual,Vdss=30V,VGS(th)=2.2V,Q1/Q2:Id(max)=28A/36A@Tc=25C,Ciss=1037pF/2010pF,9.5/4.4m Ohm@Vgs=4.5V,DFN-8P,SMD, ROHS,HF</t>
  </si>
  <si>
    <t>AONY34304</t>
  </si>
  <si>
    <t>510333K00-262-H</t>
  </si>
  <si>
    <t>MOS N,Vdss=30V,Id(max)=53A@Tc=25C,Ciss=1000pF,VGS(th)=2.2V,9.5m Ohm@Vgs=4.5V,DFN-8P,SMD,ROHS,HF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</si>
  <si>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</si>
  <si>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</si>
  <si>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</si>
  <si>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</si>
  <si>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</si>
  <si>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</si>
  <si>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51040P300-293-H</t>
  </si>
  <si>
    <t>MOS P,PD517BA,Vdss=-30V,Id(max)=-55A,Ciss=2740pF,VGS(th)=-3V,19m Ohm@Vgs=-4.5V,TO252-3P,SMD,ROHS,HF</t>
  </si>
  <si>
    <t>PD517BA</t>
  </si>
  <si>
    <t>51041MJ00-3SW-G</t>
  </si>
  <si>
    <t>MOS P,CMP3008RU,Vdss=-30V,Id(max)=-65A@Tc=25C,Ciss=1510pF,VGS(th)=-2.5V,19m Ohm@Vgs=-4.5V,TO252-3P,SMD,ROHS,HF</t>
  </si>
  <si>
    <t>CMP3008RU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</si>
  <si>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</si>
  <si>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</si>
  <si>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</si>
  <si>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</si>
  <si>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510333T00-262-H</t>
  </si>
  <si>
    <t>MOS N,Vdss=30V,Id(max)=83A@Tc=25C,Ciss=1320pF,VGS(th)=2.2V,5.15m Ohm@Vgs=4.5V,DFN-8P,SMD,ROHS,HF</t>
  </si>
  <si>
    <t>AONS36303FH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</si>
  <si>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</si>
  <si>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</si>
  <si>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</si>
  <si>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</si>
  <si>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</si>
  <si>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</si>
  <si>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T-QDY0000-G</t>
  </si>
  <si>
    <t>IC,Digital Multi-phase Controller With PMBus Interface for IMVP9.3, MP29021-AGQKT-0A26-CFD8-Z[REV2],TQFN-52,SMD,RoHS,HF</t>
  </si>
  <si>
    <t>MPS</t>
  </si>
  <si>
    <t>MP29021-AGQKT-0A26-CFD8-Z[REV2]</t>
  </si>
  <si>
    <t>PU100</t>
  </si>
  <si>
    <t>32027Q800-394-G</t>
  </si>
  <si>
    <t>IC,60A,Intelli-PhaseTM Solution with Integrated HS-FET, LS-FET, and Drivers,MP87661-AGLUTH-CFD8-Z,TLGA-33P,SMD,RoHS,HF</t>
  </si>
  <si>
    <t>MP87661-AGLUTH-CFD8-Z</t>
  </si>
  <si>
    <t>320276C00-262-G</t>
  </si>
  <si>
    <t>IC,28V/6A Synchronous EZBuck Regulator,AOZ2260HQI-10,QFN-22P,SMD,RoHS,HF</t>
  </si>
  <si>
    <t>AOZ2260HQI-10</t>
  </si>
  <si>
    <t>PU300,PU330,PU420,PU560</t>
  </si>
  <si>
    <t>320252H00-279-H</t>
  </si>
  <si>
    <t>IC,High Input Voltage 6A PWM Converter With Low Iq,APW8714E-FJQBI-TRG,TQFN-22P,SMD,ROHS,HF</t>
  </si>
  <si>
    <t>ANPEC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</si>
  <si>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</si>
  <si>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</si>
  <si>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</si>
  <si>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</si>
  <si>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</si>
  <si>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320276B00-262-G</t>
  </si>
  <si>
    <t>IC,28V/10A Synchronous EZBuck Regulator,AOZ2262HQI-10,QFN-22P,SMD,RoHS,HF</t>
  </si>
  <si>
    <t>AOZ2262HQI-10</t>
  </si>
  <si>
    <t>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</si>
  <si>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</si>
  <si>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</si>
  <si>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</si>
  <si>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</si>
  <si>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</si>
  <si>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</si>
  <si>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320282A00-264-G</t>
  </si>
  <si>
    <t>IC,17V,12A, ACOT High-Efficiency Synchronous Buck Converter,RTQ2812BGQWF,WQFN-21P,SMD,RoHS,HF</t>
  </si>
  <si>
    <t>RICHTEK</t>
  </si>
  <si>
    <t>RTQ2812BGQWF</t>
  </si>
  <si>
    <t>PU500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</si>
  <si>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</si>
  <si>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</si>
  <si>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</si>
  <si>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320274000-15M-G</t>
  </si>
  <si>
    <t>IC,High Efficiency,16V/12A Synchronous Step-down Regulator,SQ29069TXQ,QFN-21P,SMD,RoHS,HF</t>
  </si>
  <si>
    <t>SQ29069TXQ</t>
  </si>
  <si>
    <t>320250M00-264-H</t>
  </si>
  <si>
    <t>IC,High Efficiency Single Synchronous Buck PWM Controller,RT8237HHGQW(2),WDFN-10P,SMD,ROHS,HF</t>
  </si>
  <si>
    <t>RT8237HHGQW(2)</t>
  </si>
  <si>
    <t>PU520</t>
  </si>
  <si>
    <t>320216J00-183-H</t>
  </si>
  <si>
    <t>IC,High Performance,Single Synchronous Step-Down Controller For Notebook Power Supply,TPS51218DSCR,WSON-10P,SMD,ROHS,HF</t>
  </si>
  <si>
    <t>TPS51218DSCR</t>
  </si>
  <si>
    <t>320253W00-279-H</t>
  </si>
  <si>
    <t>IC,High-Performance Notebook PWM Controller,APW8828-FJQBI-TRG,TDFN-10P,SMD,ROHS,HF</t>
  </si>
  <si>
    <t>APW8828-FJQBI-TRG</t>
  </si>
  <si>
    <t>320285F00-394-G</t>
  </si>
  <si>
    <t>IC,28V,15A,Synchronous Step-Down Converter with 1-Bit VID and IMON Reporting,MP2961CGL-Z,QFN-19P,SMD,RoHS,HF</t>
  </si>
  <si>
    <t>MP2961CGL-Z</t>
  </si>
  <si>
    <t>PU780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</si>
  <si>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</si>
  <si>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</si>
  <si>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</si>
  <si>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</si>
  <si>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320278600-183-G</t>
  </si>
  <si>
    <t>IC,Dual Synchronous, Step-Down Controller with 5-V and 3.3-V LDOs,TPS51275CRUKR,WQFN-20P,SMD,RoHS,HF</t>
  </si>
  <si>
    <t>TPS51275CRUKR</t>
  </si>
  <si>
    <t>32028HA00-279-G</t>
  </si>
  <si>
    <t>IC,System Power PWM Controller with Economy Standby Mode,APW8833AQBI-TRG,TQFN-20P,SMD,RoHS,HF</t>
  </si>
  <si>
    <t>APW8833AQBI-TRG</t>
  </si>
  <si>
    <t>3406FJE00-GVQ-G</t>
  </si>
  <si>
    <t>CONN,Wire-to-Board Header,1.0mm,Gold 15u inch,Black,SMD-6P,ROHS,HF</t>
  </si>
  <si>
    <t>51290-0064C-001</t>
  </si>
  <si>
    <t>P23</t>
  </si>
  <si>
    <t>3406FKF00-245-G</t>
  </si>
  <si>
    <t>AMPHENOL</t>
  </si>
  <si>
    <t>G846A060211THR</t>
  </si>
  <si>
    <t>34132PP00-600-G</t>
  </si>
  <si>
    <t>CONN,Board To Board,0.4mm,Gold 15u inch,Black,SMD-120P,ROHS,HF</t>
  </si>
  <si>
    <t>QT41A27-24201-9H</t>
  </si>
  <si>
    <t>P72</t>
  </si>
  <si>
    <t>34132WV00-GVQ-G</t>
  </si>
  <si>
    <t>CONN,Board-to-Board,0.4mm,Gold 15u inch,Black,SMD-120P,ROHS,HF</t>
  </si>
  <si>
    <t>51085-1207C-N01</t>
  </si>
  <si>
    <t>3406J5000-786-G</t>
  </si>
  <si>
    <t>CONN,Wire-to-Board Header,0.5mm,Gold 15u inch,Black,SMD-40P,ROHS,HF</t>
  </si>
  <si>
    <t>STARCONN</t>
  </si>
  <si>
    <t>115B40-000000-G7-R</t>
  </si>
  <si>
    <t>P73</t>
  </si>
  <si>
    <t>3406JCC00-03U-G</t>
  </si>
  <si>
    <t>FUCONN</t>
  </si>
  <si>
    <t>V01-F140S5-LABHR</t>
  </si>
  <si>
    <t>3406JBM00-67Y-G</t>
  </si>
  <si>
    <t>GS12407-10114-9H</t>
  </si>
  <si>
    <t>3406KML00-GVQ-G</t>
  </si>
  <si>
    <t>CONN,Wire-to-Board Header,1.25mm,Gold 15u inch,Black,SMD-5P,ROHS,HF</t>
  </si>
  <si>
    <t>51241-0057C-001</t>
  </si>
  <si>
    <t>P124</t>
  </si>
  <si>
    <t>3406LD400-GVQ-G</t>
  </si>
  <si>
    <t>CONN,Wire-to-Board Header,1.25mm,Gold 15u inch,Black,SMD-4P,ROHS,HF</t>
  </si>
  <si>
    <t>51241-0047C-001</t>
  </si>
  <si>
    <t>P125,P126</t>
  </si>
  <si>
    <t>34132G500-GVQ-H</t>
  </si>
  <si>
    <t>CONN,Board To Board,0.5mm,Gold Flash,Natural,SMD-20P,ROHS,HF</t>
  </si>
  <si>
    <t>50044-02001-004</t>
  </si>
  <si>
    <t>P666,P667</t>
  </si>
  <si>
    <t>210834J00-863-H</t>
  </si>
  <si>
    <t>IC,USB 3.1 Gen1 Repeater/Redriver,PS8719ETQFN24GTR2-A0,TQFN-24P,SMD,RoHS,HF</t>
  </si>
  <si>
    <t>PARADE</t>
  </si>
  <si>
    <t>PS8719ETQFN24GTR2-A0</t>
  </si>
  <si>
    <t>REU101,REU102,REU103</t>
  </si>
  <si>
    <t>21083T400-22L-G</t>
  </si>
  <si>
    <t>IC,Redriver with Linear Equalization for HDMI2.0,ANX7494Q46-AA2-R,Version:AA2,QFN-46P,SMD,ROHS,HF</t>
  </si>
  <si>
    <t>ANALOGIX</t>
  </si>
  <si>
    <t>ANX7494Q46-AA2-R</t>
  </si>
  <si>
    <t>REU200</t>
  </si>
  <si>
    <t>21083WL00-22L-G</t>
  </si>
  <si>
    <t>IC,Redriver with Linear Equalization for HDMI2.0,ANX7494Q46-AA2-T,Version:AA2,QFN-46P,SMD,ROHS,HF</t>
  </si>
  <si>
    <t>ANX7494Q46-AA2-T</t>
  </si>
  <si>
    <t>52031G000-859-H</t>
  </si>
  <si>
    <t>DIODE,Schottky,Vf=0.8V,Vr=30V,If(max)=200mA,Ir(max)=2uA,SOT23-3P,SMD,ROHS,HF</t>
  </si>
  <si>
    <t>BAT54A-TP</t>
  </si>
  <si>
    <t>VD300</t>
  </si>
  <si>
    <t>520303Y00-400-H</t>
  </si>
  <si>
    <t>DIODE,Schottky,Vf=1V,Vr=30V,If(max)=200mA,Ir(max)=2uA,SOT23-3P,SMD,ROHS,HF</t>
  </si>
  <si>
    <t>LBAT54ALT1G</t>
  </si>
  <si>
    <t>52032CE00-52N-G</t>
  </si>
  <si>
    <t>BH-BAT54A</t>
  </si>
  <si>
    <t>52031CB00-859-H</t>
  </si>
  <si>
    <t>BAT54C-TP</t>
  </si>
  <si>
    <t>SD901</t>
  </si>
  <si>
    <t>52032CU00-52N-G</t>
  </si>
  <si>
    <t>BH-BAT54C</t>
  </si>
  <si>
    <t>520324R00-60E-G</t>
  </si>
  <si>
    <t>DIODE,Schottky,Vf=800mV,Vr=30V,If(max)=300mA,Ir(max)=2uA,SOT23-3P,SMD,ROHS,HF</t>
  </si>
  <si>
    <t>ST-HK</t>
  </si>
  <si>
    <t>BAT54LC-HAF</t>
  </si>
  <si>
    <t>630101500-059-H</t>
  </si>
  <si>
    <t>Chip Inductor,10uH@2MHz,+/-20%,Irate=125mA,DCR=700m Ohm,SMD0805,ROHS,HF</t>
  </si>
  <si>
    <t>FCH2012F-100M</t>
  </si>
  <si>
    <t>SL1</t>
  </si>
  <si>
    <t>630157900-015-G</t>
  </si>
  <si>
    <t>Chip Inductor,10uH@1MHz,+/-20%,Isat=250mA,Irate=300mA,DCR=845m Ohm,SMD0805,ROHS,HF</t>
  </si>
  <si>
    <t>LQM21DN100M70L</t>
  </si>
  <si>
    <t>630115P00-074-H</t>
  </si>
  <si>
    <t>Chip Inductor,10uH@2MHz,+/-20%,Irate=125mA,DCR=1000m Ohm,SMD0805,ROHS,HF</t>
  </si>
  <si>
    <t>CL201212T-100M-M-N125</t>
  </si>
  <si>
    <t>51041DN00-293-G</t>
  </si>
  <si>
    <t>MOS P,PM515BA ,Vdss=-20V,Id(max)=-3.8A@Ta=25C,Ciss=561pF,VGS(th)=-1V,65m Ohm@Vgs=-4.5V,SOT23-3P,SMD,ROHS,HF</t>
  </si>
  <si>
    <t>PM515BA</t>
  </si>
  <si>
    <t>SQ12,SQ13</t>
  </si>
  <si>
    <t>510419500-891-H</t>
  </si>
  <si>
    <t>MOS P,BRCS2305MC,Vdss=-20V,Id(max)=-3.5A@Ta=25C,Ciss=650pF,VGS(th)=-1.0V,40m Ohm@Vgs=-4.5V,SOT23-3P,SMD,ROHS,HF</t>
  </si>
  <si>
    <t>BRCS2305MC</t>
  </si>
  <si>
    <t>51041LJ00-3GG-G</t>
  </si>
  <si>
    <t>MOS P,PS2P065SS5,Vdss=-20V,Id(max)=-4.3A@Ta=25C,Ciss=21pF,VGS(th)=-1V,47m Ohm@Vgs=-4.5V,SOT-23,SMD,ROHS,HF</t>
  </si>
  <si>
    <t>POWERX</t>
  </si>
  <si>
    <t>PS2P065SS5</t>
  </si>
  <si>
    <t>611102100-056-G</t>
  </si>
  <si>
    <t>Thermistor,NTC,10K Ohm,+/-1%,140mW,B25/85,beta constant=3435K,beta tolerance=+/-1%,SMD0201,ROHS,HF</t>
  </si>
  <si>
    <t>TSMAA103F34D1RZ</t>
  </si>
  <si>
    <t>SRT5,SRT8,SRT1,SRT3</t>
  </si>
  <si>
    <t>611107U00-012-G</t>
  </si>
  <si>
    <t>Thermistor,NTC,10K Ohm,+/-1%,100mW,B25/85,beta constant=3435K,beta tolerance=+/-1%,SMD0201,ROHS,HF</t>
  </si>
  <si>
    <t>WALSIN</t>
  </si>
  <si>
    <t>JSNZ103F344FBBXG</t>
  </si>
  <si>
    <t>611105800-015-G</t>
  </si>
  <si>
    <t>Thermistor,NTC,10K Ohm,+/-1%,100mW,B25/85,beta constant=3380K,beta tolerance=+/-1%,SMD0201,ROHS,HF</t>
  </si>
  <si>
    <t>NCP03XH103F05RL</t>
  </si>
  <si>
    <t>32030P600-237-H</t>
  </si>
  <si>
    <t>IC,Low Power Low Offset Voltage Dual Comparators,AS393MTR-G1,SOIC-8P,SMD,ROHS,HF</t>
  </si>
  <si>
    <t>AS393MTR-G1</t>
  </si>
  <si>
    <t>SU1</t>
  </si>
  <si>
    <t>32032KH00-82G-G</t>
  </si>
  <si>
    <t>IC,Low Power Low Offset Voltage Dual Comparators,WA3393-S80R,SOP-8P,SMD,RoHS,HF</t>
  </si>
  <si>
    <t>WAYON</t>
  </si>
  <si>
    <t>WA3393-S80R</t>
  </si>
  <si>
    <t>320322P00-183-H</t>
  </si>
  <si>
    <t>IC,Dual Comparators,LM393BIDR,SOIC-8P,SMD,RoHS,HF</t>
  </si>
  <si>
    <t>LM393BIDR</t>
  </si>
  <si>
    <t>31010MJ00-237-H</t>
  </si>
  <si>
    <t>IC,Single 2 Input Positive And Gate,74LVC1G08SE-7,SOT353-5P,SMD,ROHS,HF</t>
  </si>
  <si>
    <t>74LVC1G08SE-7</t>
  </si>
  <si>
    <t>SU2</t>
  </si>
  <si>
    <t>310102100-183-H</t>
  </si>
  <si>
    <t>IC,Single 2-Input Positive-And Gate,SN74LVC1G08DCKR,SC70-5P,SMD,ROHS,HF</t>
  </si>
  <si>
    <t>SN74LVC1G08DCKR</t>
  </si>
  <si>
    <t>310103J00-223-H</t>
  </si>
  <si>
    <t>IC,Single 2-Input And Gate,NL17SZ08DFT2G,SOT353-5P,SMD,ROHS,HF</t>
  </si>
  <si>
    <t>NL17SZ08DFT2G</t>
  </si>
  <si>
    <t>340816F00-653-H</t>
  </si>
  <si>
    <t>Tact Switch,12V,50mA,520g+/-50g,Yellow,SMD-4P,ROHS,HF</t>
  </si>
  <si>
    <t>DIPTRONICS</t>
  </si>
  <si>
    <t>DTSM-62Y-Q-T/R</t>
  </si>
  <si>
    <t>SW50</t>
  </si>
  <si>
    <t>340815L00-571-H</t>
  </si>
  <si>
    <t>Tact Switch,12V,50mA,520g+/-100g,Yellow,SMD-4P,ROHS,HF</t>
  </si>
  <si>
    <t>FORWARD</t>
  </si>
  <si>
    <t>SFNHLMT2540T</t>
  </si>
  <si>
    <t>340823700-GCB-H</t>
  </si>
  <si>
    <t>LIYANG</t>
  </si>
  <si>
    <t>LYQC002103</t>
  </si>
  <si>
    <t>T-QPK0001-G</t>
  </si>
  <si>
    <t>IC,Dual Port USB Type-C and USB PD DRP Controller with Integrated Source Power Switches,TPS66994CBREPR FW v2.1,VQFN-52P,SMD,RoHS,HF</t>
  </si>
  <si>
    <t>PTPS66994CBREPR[FW V2.1]</t>
  </si>
  <si>
    <t>TU900</t>
  </si>
  <si>
    <t>52180V300-940-G</t>
  </si>
  <si>
    <t>TVS-Array,Ir(max)=1uA,Vcl(typ)=4.3V@Ipp=16A,Vrwm(max)=1.5V,Vbr(min)=5V,14KV(contact),15KV(air),DFN-10P,SMD,ROHS,HF</t>
  </si>
  <si>
    <t>AZ176S-04F.R7G</t>
  </si>
  <si>
    <t>UD800,UD810,U6,U3,U24,U25,U303,U304</t>
  </si>
  <si>
    <t>52180YL00-15M-G</t>
  </si>
  <si>
    <t>TVS-Array,Ir(max)=0.1uA,Vcl(typ)=5.8V@Ipp=16A,Vrwm(max)=3.3V,Vtl(min)=5V,15KV(air),10KV(contact),DFN2510-10P,SMD,ROHS,HF</t>
  </si>
  <si>
    <t>SYT26AU3DVD</t>
  </si>
  <si>
    <t>52180GR00-JQ8-H</t>
  </si>
  <si>
    <t>TVS-Array,Ir(max)=0.1uA,Vc(typ)=7.2V@Ipp=16A,Vrwm(max)=3.3V,Vbr(min)=5.5V,15KV(air),15KV(contact),DFN2510A-10P,SMD,ROHS,HF</t>
  </si>
  <si>
    <t>PUSB3FR4</t>
  </si>
  <si>
    <t>52180BA00-940-H</t>
  </si>
  <si>
    <t>TVS-Array,Ir(max)=5uA,Vc(max)=11V,Vrwm(max)=5V,Vbr(min)=6V,27KV(air),16KV(contact),SOT23-6P,SMD,ROHS,HF</t>
  </si>
  <si>
    <t>AZC199-04S.R7G</t>
  </si>
  <si>
    <t>UD801,U12,U37,VU102,VU303</t>
  </si>
  <si>
    <t>52180WS00-15M-G</t>
  </si>
  <si>
    <t>TVS-Array,Ir(max)=0.1uA,Vcl(typ)=10.5V@Ipp=16A,Vrwm(max)=5V,Vbr(min)=6V,30KV(contact),30KV(air),SOT23-6P,SMD,ROHS</t>
  </si>
  <si>
    <t>SYT05S05ABC</t>
  </si>
  <si>
    <t>52180V800-3SW-G</t>
  </si>
  <si>
    <t>TVS-Array,Ir(max)=0.5uA,Vcl(typ)=10.4V@Ipp=16A,Vrwm(max)=5V,Vbr(min)=6V,25KV(contact),30KV(air),SOT23-6P,SMD,ROHS,HF</t>
  </si>
  <si>
    <t>AR0504S2A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</si>
  <si>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</si>
  <si>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</si>
  <si>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</si>
  <si>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</si>
  <si>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</si>
  <si>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21040R500-187-H</t>
  </si>
  <si>
    <t>IC,Intel Ethernet Connection,WGI219LM,Version:A0,S-Spec:SLKJ2,QFN-48P,SMD,ROHS,HF</t>
  </si>
  <si>
    <t>INTEL</t>
  </si>
  <si>
    <t>WGI219LM[VER.A0,SLKJ2]</t>
  </si>
  <si>
    <t>U10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</si>
  <si>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</si>
  <si>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</si>
  <si>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</si>
  <si>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</si>
  <si>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</si>
  <si>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</si>
  <si>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</t>
  </si>
  <si>
    <t>ST33KTPM2X32DKJ1</t>
  </si>
  <si>
    <t>310313G00-237-H</t>
  </si>
  <si>
    <t>IC,Small Plastic Package,Dual SPDT Analog Switch,PI3A223ZMEX,UQFN-10P,SMD,ROHS,HF</t>
  </si>
  <si>
    <t>PI3A223ZMEX</t>
  </si>
  <si>
    <t>VU105</t>
  </si>
  <si>
    <t>31030QQ00-183-G</t>
  </si>
  <si>
    <t>IC,0.45ohm,2-Channel SPDT Bidirectional Analog Switch,TS3A5223RSWR,UQFN-10P,SMD,RoHS,HF</t>
  </si>
  <si>
    <t>TS3A5223RSWR</t>
  </si>
  <si>
    <t>31031E600-3K5-G</t>
  </si>
  <si>
    <t>IC,0.75ohm,Ultra Low On-Resistance Dual, SPDT Analog Switch,DIO1523LP10,DQFN-10P,SMD,RoHS,HF</t>
  </si>
  <si>
    <t>DIOO</t>
  </si>
  <si>
    <t>DIO1523LP10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</si>
  <si>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</si>
  <si>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</si>
  <si>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</si>
  <si>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</si>
  <si>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</si>
  <si>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</si>
  <si>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</si>
  <si>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</si>
  <si>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T-QPK0000-G</t>
  </si>
  <si>
    <t>IC,Dual Port USB Type-C and USB PD DRP Controller with Integrated Source Power Switches,TPS66994CBREPR FW v1.1,VQFN-52P,SMD,RoHS,HF</t>
  </si>
  <si>
    <t>PTPS66994CBREPR[FW V1.1]</t>
  </si>
  <si>
    <t>U1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</si>
  <si>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</si>
  <si>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</si>
  <si>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</si>
  <si>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</si>
  <si>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52180YW00-15M-G</t>
  </si>
  <si>
    <t>TVS-Array,Ir(max)=0.1uA,Vc(typ)=9.5V@Ipp=16A,Vrwm(max)=5V,Vtl(min)=5V,15KV(air),15KV(contact),DFN2510-10P,SMD,ROHS,HF</t>
  </si>
  <si>
    <t>SYT36A05DVD</t>
  </si>
  <si>
    <t>32025P100-237-G</t>
  </si>
  <si>
    <t>IC,1.0A SINGLE CHANNEL POWER DISTRIBUTION LOAD SWITCH,TSOT25-5P,SMD,RoHS,HF</t>
  </si>
  <si>
    <t>AP22816AKEWT-7</t>
  </si>
  <si>
    <t>VU5,VU301</t>
  </si>
  <si>
    <t>320288400-2U4-G</t>
  </si>
  <si>
    <t>IC,Single Power Switch with Flag,ITP1133-1SOTA,SOT23-5P,SMD,RoHS,HF</t>
  </si>
  <si>
    <t>ITP1133-1SOTA</t>
  </si>
  <si>
    <t>320287700-31C-G</t>
  </si>
  <si>
    <t>IC,75mohm,Current Limited,High-Side Power Switches,WS4618EBA-5/TR,SOT23-5P,SMD,RoHS,HF</t>
  </si>
  <si>
    <t>WS4618EBA-5/TR</t>
  </si>
  <si>
    <t>34010D200-67Y-G</t>
  </si>
  <si>
    <t>CONN,CPU Socket_LGA1954,0.8mm,Gold 15u inch,Black,SMD-1954P,ROHS,HF</t>
  </si>
  <si>
    <t>PE19547-11NK0-1H</t>
  </si>
  <si>
    <t>XU1</t>
  </si>
  <si>
    <t>34010DE00-38K-G</t>
  </si>
  <si>
    <t>56ZZC2-027H-F</t>
  </si>
  <si>
    <t>34010DD00-GRS-G</t>
  </si>
  <si>
    <t>AZIFA328-P001C00CC</t>
  </si>
  <si>
    <t>3406D2V00-GVQ-H</t>
  </si>
  <si>
    <t>CONN,Pin Socket,2X4,1.27mm,Tin,Natural,SMD-8P,ROHS,HF</t>
  </si>
  <si>
    <t>50950-0084N-001</t>
  </si>
  <si>
    <t>XU19,XU68</t>
  </si>
  <si>
    <t>71013C100-155-G</t>
  </si>
  <si>
    <t>XTAL,38.4MHz,+/-10ppm,CL=12pF,C0=3pF,Rs=50 Ohm,SMD-4P,ROHS,HF</t>
  </si>
  <si>
    <t>HOSONIC</t>
  </si>
  <si>
    <t>E3SB38E0X0010E</t>
  </si>
  <si>
    <t>Y1</t>
  </si>
  <si>
    <t>71013C000-098-G</t>
  </si>
  <si>
    <t>HELE</t>
  </si>
  <si>
    <t>X3S038400BC1H-CDEPZ</t>
  </si>
  <si>
    <t>710141U00-180-G</t>
  </si>
  <si>
    <t>SIWARD</t>
  </si>
  <si>
    <t>XTL571500-F113-028</t>
  </si>
  <si>
    <t>71012A800-155-H</t>
  </si>
  <si>
    <t>XTAL,25MHz,+/-20ppm,CL=18pF,C0=3pF,Rs=20 Ohm,SMD-4P,ROHS,HF</t>
  </si>
  <si>
    <t>E3SB25E000065E</t>
  </si>
  <si>
    <t>Y3</t>
  </si>
  <si>
    <t>71013GW00-180-G</t>
  </si>
  <si>
    <t>XTAL,25MHz,+/-10ppm,CL=18pF,C0=3pF,Rs=20 Ohm,SMD-4P,ROHS,HF</t>
  </si>
  <si>
    <t>XTL571200-X12-113</t>
  </si>
  <si>
    <t>71012A900-098-H</t>
  </si>
  <si>
    <t>XTAL,25MHz,+/-20ppm,CL=18pF,C0=2pF,Rs=20 Ohm,SMD-4P,ROHS,HF</t>
  </si>
  <si>
    <t>X3S025000DI1H-HW</t>
  </si>
  <si>
    <t>34065Y600-GRT-H</t>
  </si>
  <si>
    <t>CONN,Jumper,2.0mm,Gold Flash,Blue,DIP-2P,ROHS,HF</t>
  </si>
  <si>
    <t>202-H71-01GU0B</t>
  </si>
  <si>
    <t>@E21</t>
  </si>
  <si>
    <t>48013F200-23C-G</t>
  </si>
  <si>
    <t>Heatsink,Length:44.84mm,Width:25.00mm,Thickness:11.50mm,For PCH Heatsink,DIP,ROHS,HF</t>
  </si>
  <si>
    <t>NAXIN</t>
  </si>
  <si>
    <t>101075270</t>
  </si>
  <si>
    <t>@U4</t>
  </si>
  <si>
    <t>48013F400-17J-G</t>
  </si>
  <si>
    <t>AURAS</t>
  </si>
  <si>
    <t>0P10D00029</t>
  </si>
  <si>
    <t>48013F300-600-G</t>
  </si>
  <si>
    <t>PHCX57G1P012</t>
  </si>
  <si>
    <t>890107603-60T-G</t>
  </si>
  <si>
    <t>Battery,Coin Lithium,3.0V,220mAh,CR2032,20X3.2,DIP,ROHS</t>
  </si>
  <si>
    <t>DBV</t>
  </si>
  <si>
    <t>BCR2032-F</t>
  </si>
  <si>
    <t>@XBT1</t>
  </si>
  <si>
    <t>890107602-JR4-G</t>
  </si>
  <si>
    <t>VIC-DAWN</t>
  </si>
  <si>
    <t>BBBCR2032BX</t>
  </si>
  <si>
    <t>890107603-16M-G</t>
  </si>
  <si>
    <t>JHT</t>
  </si>
  <si>
    <t>CJCR20320117</t>
  </si>
  <si>
    <t>7B162PS00-GRS-G</t>
  </si>
  <si>
    <t>CONN,Battery Socket Cap,L=22.20mm,W=20.05mm,T=5.10mm,Black,DIP,ROHS,HF</t>
  </si>
  <si>
    <t>ABATA053-P001GC</t>
  </si>
  <si>
    <t>@XBT1-1</t>
  </si>
  <si>
    <t>7B162S600-62G-G</t>
  </si>
  <si>
    <t>121B-AADB-A90B</t>
  </si>
  <si>
    <t>7B162S300-67Y-G</t>
  </si>
  <si>
    <t>BBH1231-C8201-4H</t>
  </si>
  <si>
    <t>1A72M3T00-67Y-G</t>
  </si>
  <si>
    <t>CONN,LGA 1954 Loading Module,DIP,ROHS,HF</t>
  </si>
  <si>
    <t>PM5A222-11NK0-4H</t>
  </si>
  <si>
    <t>@XU1</t>
  </si>
  <si>
    <t>1A724YY00-38K-G</t>
  </si>
  <si>
    <t>56ZZC2-032H-F</t>
  </si>
  <si>
    <t>1A72RQ900-GRS-G</t>
  </si>
  <si>
    <t>AZIFA356-P001C00CC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</si>
  <si>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</si>
  <si>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</si>
  <si>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</si>
  <si>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</si>
  <si>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</si>
  <si>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41051UJ00-36F-G</t>
  </si>
  <si>
    <t>IC,1.8V 256M-Bit Dual and Quad Serial Flash,GD25LB256KYIGR,WSON-8P,SMD,ROHS,HF</t>
  </si>
  <si>
    <t>GIGADEVICE</t>
  </si>
  <si>
    <t>GD25LB256KYIGR</t>
  </si>
  <si>
    <t>41051S900-233-G</t>
  </si>
  <si>
    <t>IC,1.8V 256M-Bit x1/x2/x4 CMOS MXSMIO Flash Memory,MX25U25671GZ4I4GA,WSON-8P,SMD,ROHS,HF</t>
  </si>
  <si>
    <t>MXIC</t>
  </si>
  <si>
    <t>MX25U25671GZ4I4GA</t>
  </si>
  <si>
    <t>41060UL00-233-G</t>
  </si>
  <si>
    <t>IC,1.8V IG-Bit Serial NAND Flash Memory,MX35UF1GE4AD-Z4I6,WSON-8P,SMD,ROHS,HF</t>
  </si>
  <si>
    <t>MX35UF1GE4AD-Z4I6</t>
  </si>
  <si>
    <t>@XU68</t>
  </si>
  <si>
    <t>410610000-205-G</t>
  </si>
  <si>
    <t>IC,1.8V 1G-Bit SLC QSPI NAND Flash Memory with Dual/Quad SPI Buffer Read&amp;Continuous Read,W25N01KWZEIT,WSON-8P,SMD,ROHS,HF</t>
  </si>
  <si>
    <t>W25N01KWZEIT</t>
  </si>
  <si>
    <t>41060VS00-36F-G</t>
  </si>
  <si>
    <t>IC,1.8V 1G-Bit High-Speed Serial NAND Flash,GD5F1GM9REYIGR-PC,WSON-8P,SMD,ROHS,HF</t>
  </si>
  <si>
    <t>GD5F1GM9REYIGR-PC</t>
  </si>
  <si>
    <t>7D0828300-HV7-G</t>
  </si>
  <si>
    <t>Rubber,Diameter:9.00mm, High:7.90mm,ROHS,HF</t>
  </si>
  <si>
    <t>HANHAI</t>
  </si>
  <si>
    <t>HY260314101-0000</t>
  </si>
  <si>
    <t>BUMPER</t>
  </si>
  <si>
    <t>7D0828200-G1G-G</t>
  </si>
  <si>
    <t>FU CHUANG</t>
  </si>
  <si>
    <t>320-0060-F3531</t>
  </si>
  <si>
    <t>7D0828100-HWF-G</t>
  </si>
  <si>
    <t>PUSHIAN</t>
  </si>
  <si>
    <t>PXRA4963</t>
  </si>
  <si>
    <t>T-PDM-0004BD-G</t>
  </si>
  <si>
    <t>ME part list.LED Holder,Length:26.86mm,Width:16.68mm,Thickness:11.2mm,DIP,ROHS,HF</t>
  </si>
  <si>
    <t>P-LED-HOLDER-FY27-SLIM-TWR</t>
  </si>
  <si>
    <t>COVER</t>
  </si>
  <si>
    <t>621207W05-HPH-H</t>
  </si>
  <si>
    <t>CPCAP,560uF,+/-20%,6.3V,5000hs,-55~+105C,I(ripple)=5000mA,ESR=8m Ohm,DIP6.3X8,ROHS,HF</t>
  </si>
  <si>
    <t>FPCAP</t>
  </si>
  <si>
    <t>FP-6R3RE561M-S8JT-5K</t>
  </si>
  <si>
    <t>621207W0V-31N-G</t>
  </si>
  <si>
    <t>CPCAP,560uF,+/-20%,6.3V,5000hs,-55~+105C,I(ripple)=4700mA,ESR=8m Ohm,DIP6.3X8,ROHS,HF</t>
  </si>
  <si>
    <t>6R3AR5K561M06X8CT</t>
  </si>
  <si>
    <t>621207W0C-077-H</t>
  </si>
  <si>
    <t>ELITE</t>
  </si>
  <si>
    <t>UPE0J561MP26308U</t>
  </si>
  <si>
    <t>2J058FS00-869-G</t>
  </si>
  <si>
    <t>Gasket,Length:12.00mm,Width:5.00mm,Thickness:4.00mm,DIP,ROHS,HF</t>
  </si>
  <si>
    <t>JOINSET</t>
  </si>
  <si>
    <t>10101022135</t>
  </si>
  <si>
    <t>GASKET1</t>
  </si>
  <si>
    <t>2J058FQ00-HWG-G</t>
  </si>
  <si>
    <t>YIDAXING</t>
  </si>
  <si>
    <t>YDX202512190001</t>
  </si>
  <si>
    <t>2J058FR00-KAQ-G</t>
  </si>
  <si>
    <t>COLOR-NICE</t>
  </si>
  <si>
    <t>PE00139</t>
  </si>
  <si>
    <t>34051W500-609-H</t>
  </si>
  <si>
    <t>CONN,I/O Port,USBX2_RJ45,Gigabit,2.54mm,Gold 30u inch,Black,DIP-22P,ROHS,HF</t>
  </si>
  <si>
    <t>UDE</t>
  </si>
  <si>
    <t>RU4-FN-0036</t>
  </si>
  <si>
    <t>J9</t>
  </si>
  <si>
    <t>34052LT00-GB0-G</t>
  </si>
  <si>
    <t>SPEEDTECH</t>
  </si>
  <si>
    <t>RUA2JA-EJR3-DE0-FH</t>
  </si>
  <si>
    <t>340524N00-600-G</t>
  </si>
  <si>
    <t>JFM38U1H-2N16-4H</t>
  </si>
  <si>
    <t>34045P000-600-H</t>
  </si>
  <si>
    <t>CONN,I/O Port,USB3X2,2.0mm,Pd/Ni 30u inch+Gold 5u inch,Black,DIP-18P,ROHS,HF</t>
  </si>
  <si>
    <t>UEA112C-84158-4H</t>
  </si>
  <si>
    <t>J10</t>
  </si>
  <si>
    <t>340494Q00-62G-G</t>
  </si>
  <si>
    <t>CONN,I/O Port,USB3X2,2.0mm,Gold 30u inch,Black,DIP-18P,ROHS,HF</t>
  </si>
  <si>
    <t>12HA-F71C-001T</t>
  </si>
  <si>
    <t>340494R00-16H-G</t>
  </si>
  <si>
    <t>3AL18S-39P0233HF</t>
  </si>
  <si>
    <t>340491800-600-G</t>
  </si>
  <si>
    <t>CONN,I/O Port,Displayport_HDMI,1.3mm,Gold 15u inch,Black,DIP-39P,ROHS,HF</t>
  </si>
  <si>
    <t>3VD11207-RDH5-4H</t>
  </si>
  <si>
    <t>J64</t>
  </si>
  <si>
    <t>34048PG00-67Y-G</t>
  </si>
  <si>
    <t>CONN,JACK,Audio,HDA,AUDX1,Dia=3.6mm,Gold 15u inch,Black,DIP-5P,ROHS,HF</t>
  </si>
  <si>
    <t>JA31137-65005-7H</t>
  </si>
  <si>
    <t>J74</t>
  </si>
  <si>
    <t>34048RF00-16H-G</t>
  </si>
  <si>
    <t>69L05S-37R0048HF</t>
  </si>
  <si>
    <t>34048RB00-62G-G</t>
  </si>
  <si>
    <t>12HJ-K06B-Q2BR</t>
  </si>
  <si>
    <t>62120GJ08-077-H</t>
  </si>
  <si>
    <t>CPCAP,270uF,+/-20%,16V,5000hs,-55~+105C,I(ripple)=5080mA,ESR=10m Ohm,DIP6.3X8,ROHS,HF</t>
  </si>
  <si>
    <t>UPE1C271MP26308EU</t>
  </si>
  <si>
    <t>PCE210,PCE211,PCE212,PCE213,PCE214,PCE900,PCE901,PCE9011</t>
  </si>
  <si>
    <t>62120GJ00-31N-H</t>
  </si>
  <si>
    <t>CPCAP,270uF,+/-20%,16V,5000hs,-55~+105C,I(ripple)=5100mA,ESR=10m Ohm,DIP6.3X8,ROHS,HF</t>
  </si>
  <si>
    <t>160AR5K271M06X8CT</t>
  </si>
  <si>
    <t>62120TN00-049-H</t>
  </si>
  <si>
    <t>LELON</t>
  </si>
  <si>
    <t>ORE271M1CSA-0608-FD</t>
  </si>
  <si>
    <t>621207805-HPH-H</t>
  </si>
  <si>
    <t>CPCAP,820uF,+/-20%,2.5V,5000hs,-55~+105C,I(ripple)=5600mA,ESR=7m Ohm,DIP6.3X8,ROHS,HF</t>
  </si>
  <si>
    <t>FP-2R5RE821M-S8JT-5K</t>
  </si>
  <si>
    <t>PCE1295</t>
  </si>
  <si>
    <t>621207800-31N-H</t>
  </si>
  <si>
    <t>CPCAP,820uF,+/-20%,2.5V,5000hs,-55~+105C,I(ripple)=5000mA,ESR=7m Ohm,DIP6.3X8,ROHS,HF</t>
  </si>
  <si>
    <t>2R5AR5K821M06X8CT</t>
  </si>
  <si>
    <t>62120780G-077-H</t>
  </si>
  <si>
    <t>UPE0E821MP26308U</t>
  </si>
  <si>
    <t>3406AE700-600-H</t>
  </si>
  <si>
    <t>CONN,Header,1X3,2.54mm,Gold 15u inch,Black,DIP-3P,ROHS,HF</t>
  </si>
  <si>
    <t>HBB1037-L200F-EH</t>
  </si>
  <si>
    <t>PJP946</t>
  </si>
  <si>
    <t>3406JA400-637-G</t>
  </si>
  <si>
    <t>CONN,Plug,2X2,ATX,PWR,4.20mm,Tin 100u inch,Black,DIP-4P,ROHS,HF</t>
  </si>
  <si>
    <t>L&amp;S</t>
  </si>
  <si>
    <t>4171210400-0A11</t>
  </si>
  <si>
    <t>P1</t>
  </si>
  <si>
    <t>3406EUW00-67Y-G</t>
  </si>
  <si>
    <t>CONN,Plug,2X2,ATX,PWR,4.2mm,Tin 100u inch,Black,DIP-4P,ROHS,HF</t>
  </si>
  <si>
    <t>HMBA020-B1BF2-4H</t>
  </si>
  <si>
    <t>3406F1U00-03U-H</t>
  </si>
  <si>
    <t>34202W00-2X2PA-F-W5</t>
  </si>
  <si>
    <t>3406HUF00-600-G</t>
  </si>
  <si>
    <t>CONN,Header,1X7,Shield,2.0mm,Tin 100u inch,Black,DIP-7P,ROHS,HF</t>
  </si>
  <si>
    <t>HFK1070-L2P2L-EH</t>
  </si>
  <si>
    <t>P2</t>
  </si>
  <si>
    <t>3406HTC00-637-G</t>
  </si>
  <si>
    <t>2311B10700-0A11</t>
  </si>
  <si>
    <t>3406JAK00-03U-G</t>
  </si>
  <si>
    <t>12001W00-7PA-F-S7-HF-NK</t>
  </si>
  <si>
    <t>3406LD100-637-G</t>
  </si>
  <si>
    <t>CONN,Plug,2X3,ATX,PWR,4.20mm,Tin 100u inch,Black,DIP-6P,ROHS,HF</t>
  </si>
  <si>
    <t>4171210600-0A11</t>
  </si>
  <si>
    <t>P3</t>
  </si>
  <si>
    <t>3406HTJ00-637-G</t>
  </si>
  <si>
    <t>CONN,Header,1X4,Shield,2.00mm,Tin 100u inch,Black,DIP-4P,ROHS,HF</t>
  </si>
  <si>
    <t>2311610400-0B11</t>
  </si>
  <si>
    <t>P6</t>
  </si>
  <si>
    <t>3406LGR00-16H-G</t>
  </si>
  <si>
    <t>9AT04P-3TB0007HF</t>
  </si>
  <si>
    <t>3406JAG00-03U-G</t>
  </si>
  <si>
    <t>CONN,Header,1X4,Shield,2.0mm,Tin 100u inch,Black,DIP-4P,ROHS,HF</t>
  </si>
  <si>
    <t>12001W00-4PA-F-S7-HF-NK</t>
  </si>
  <si>
    <t>3406B6J00-637-G</t>
  </si>
  <si>
    <t>CONN,Header,1X4,FAN,2.54mm,Tin 100u inch,Black,DIP-4P,ROHS,HF</t>
  </si>
  <si>
    <t>2121110400-0A11</t>
  </si>
  <si>
    <t>P8</t>
  </si>
  <si>
    <t>34060VR00-600-G</t>
  </si>
  <si>
    <t>CONN,Header,1X2,2.0mm,Tail=3.4mm,Tin 100u inch,Ivory,DIP-2P,ROHS</t>
  </si>
  <si>
    <t>HF5502E</t>
  </si>
  <si>
    <t>P2-2</t>
  </si>
  <si>
    <t>3406LC400-637-G</t>
  </si>
  <si>
    <t>CONN,Header,1X2,Shield,2.0mm,Tin 100u inch,Milk White,DIP-2P,ROHS,HF</t>
  </si>
  <si>
    <t>2311900200-0C12</t>
  </si>
  <si>
    <t>3406LD300-637-G</t>
  </si>
  <si>
    <t>CONN,Header,1X5,Shield,2.00mm,Tin 100u inch,Black,DIP-5P,ROHS,HF</t>
  </si>
  <si>
    <t>2311B10500-0C11</t>
  </si>
  <si>
    <t>P2-5</t>
  </si>
  <si>
    <t>3406LD200-03U-G</t>
  </si>
  <si>
    <t>CONN,Header,2X3_K1,2.54mm,Gold 15u inch,Black,DIP-5P,ROHS,HF</t>
  </si>
  <si>
    <t>FM-4V2X3-D01908DB0BG</t>
  </si>
  <si>
    <t>P245</t>
  </si>
  <si>
    <t>3406LPH00-GRT-G</t>
  </si>
  <si>
    <t>210-H92-03SB023A</t>
  </si>
  <si>
    <t>3406LP000-637-G</t>
  </si>
  <si>
    <t>1111330601-0C41</t>
  </si>
  <si>
    <t>34082BR00-74V-G</t>
  </si>
  <si>
    <t>Tact Switch,12V,50mA,160g+/-50g,Black,DIP-4P,ROHS,HF</t>
  </si>
  <si>
    <t>WZLIYANG</t>
  </si>
  <si>
    <t>LYQC007191</t>
  </si>
  <si>
    <t>SW1</t>
  </si>
  <si>
    <t>34082C800-750-G</t>
  </si>
  <si>
    <t>HIGHLY</t>
  </si>
  <si>
    <t>HL06BRC21-050-160-HF</t>
  </si>
  <si>
    <t>3406J4E00-GRS-G</t>
  </si>
  <si>
    <t>CONN,Socket,Battery,Horizontal,CR2032,Tin 100u inch,Black,DIP-2P,ROHS,HF</t>
  </si>
  <si>
    <t>ABATA052-P001CC</t>
  </si>
  <si>
    <t>XBT1</t>
  </si>
  <si>
    <t>3406JD900-62G-G</t>
  </si>
  <si>
    <t>121B-AADB-A9TT</t>
  </si>
  <si>
    <t>3406JCF00-67Y-G</t>
  </si>
  <si>
    <t>BBH1239-C8200-4H</t>
  </si>
  <si>
    <t>AFB1</t>
  </si>
  <si>
    <t>XD600</t>
  </si>
  <si>
    <t>KQ2</t>
  </si>
  <si>
    <t>XQ302,XQ304,XQ600,XQ601</t>
  </si>
  <si>
    <t>VQ300</t>
  </si>
  <si>
    <t>2A651VQ00-GB3-G</t>
  </si>
  <si>
    <t>Nut,Diameter:5.0mm,High:4.5mm,SMD,ROHS,HF</t>
  </si>
  <si>
    <t>50-3620-45</t>
  </si>
  <si>
    <t>J39N,J40N,J46N</t>
  </si>
  <si>
    <t>2A651W500-HYE-G</t>
  </si>
  <si>
    <t>MRHMU200450T-SMT-1000</t>
  </si>
  <si>
    <t>2A651W400-G7Y-G</t>
  </si>
  <si>
    <t>YONG-QIANG</t>
  </si>
  <si>
    <t>YQ20260826-01</t>
  </si>
  <si>
    <t>34034CR00-67Y-G</t>
  </si>
  <si>
    <t>CONN,NGFF,Key-M,Gen5,0.5mm,Gold 10u inch,Black,SMD-67P,ROHS,HF</t>
  </si>
  <si>
    <t>2E0BD26-S40BM-7H</t>
  </si>
  <si>
    <t>J39,J40,J46</t>
  </si>
  <si>
    <t>34034EK00-38K-G</t>
  </si>
  <si>
    <t>5621D3-013H-3B02</t>
  </si>
  <si>
    <t>510101000-400-H</t>
  </si>
  <si>
    <t>TRANS NPN,LMBT3904LT1G,VBE(sat)=0.85V,HFE=300,Vceo=40V,Ic(sat)=200mA,SOT23-3P,SMD,ROHS,HF</t>
  </si>
  <si>
    <t>LMBT3904LT1G</t>
  </si>
  <si>
    <t>LQ1</t>
  </si>
  <si>
    <t>510100W00-237-H</t>
  </si>
  <si>
    <t>TRANS NPN,MMBT3904-7-F,VBE(sat)=0.85V,HFE=300,Vceo=40V,Ic(sat)=200mA,SOT23-3P,SMD,ROHS,HF</t>
  </si>
  <si>
    <t>MMBT3904-7-F</t>
  </si>
  <si>
    <t>51010H200-859-H</t>
  </si>
  <si>
    <t>TRANS NPN,MMBT3904-TP,VBE(sat)=0.85V,HFE=300,Vceo=40V,Ic=200mA,SOT23-3P,SMD,ROHS,HF</t>
  </si>
  <si>
    <t>MMBT3904-TP</t>
  </si>
  <si>
    <t>510101700-891-H</t>
  </si>
  <si>
    <t>TRANS NPN,MMBT3904,VBE(sat)=850mV,HFE=300,Vceo=40V,Ic(sat)=200mA,SOT23-3P,SMD,ROHS,HF</t>
  </si>
  <si>
    <t>MMBT3904</t>
  </si>
  <si>
    <t>LU1,XU600</t>
  </si>
  <si>
    <t>63015CA00-059-G</t>
  </si>
  <si>
    <t>Chip Inductor,1.0uH@1MHz,+/-20%,Isat=2.1A,Irate=1.8A,DCR=115m Ohm,SMD0603,ROHS,HF</t>
  </si>
  <si>
    <t>TMIM160808HL-1R0MBCD</t>
  </si>
  <si>
    <t>63015CA00-83L-G</t>
  </si>
  <si>
    <t>PT160808X1R0MR02-SFQF</t>
  </si>
  <si>
    <t>63015CA00-67M-G</t>
  </si>
  <si>
    <t>SICP160808SG-1R0M-HH1W</t>
  </si>
  <si>
    <t>630133A00-015-G</t>
  </si>
  <si>
    <t>DFE201610E-1R0M=P2</t>
  </si>
  <si>
    <t>630157801-051-G</t>
  </si>
  <si>
    <t>Chip Inductor,1uH@2MHz,+/-20%,Isat=3.6A,Irate=2.7A,DCR=57m Ohm,SMD0806,ROHS,HF</t>
  </si>
  <si>
    <t>BDCC002016101R0MCZ</t>
  </si>
  <si>
    <t>630134000-092-G</t>
  </si>
  <si>
    <t>Chip Inductor,1uH@1MHz,+/-20%,Isat=3.3A,Irate=3.0A,DCR=60m Ohm,SMD0806,ROHS,HF</t>
  </si>
  <si>
    <t>WIP201610S-1R0ML</t>
  </si>
  <si>
    <t>SQ900,XQ303</t>
  </si>
  <si>
    <t>3406L4S00-67Y-G</t>
  </si>
  <si>
    <t>CONN,Wire-to-Board Header,1.25mm,Tin 100u inch,SMD-4P,ROHS,HF</t>
  </si>
  <si>
    <t>HSG1040-L0000-9H</t>
  </si>
  <si>
    <t>P9</t>
  </si>
  <si>
    <t>34063KY00-GVQ-G</t>
  </si>
  <si>
    <t>CONN,Wire-to-Board Header,1.25mm,Tin,Black,SMD-4P,ROHS,HF</t>
  </si>
  <si>
    <t>50273-0047N-001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</si>
  <si>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</si>
  <si>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</si>
  <si>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</si>
  <si>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</si>
  <si>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</si>
  <si>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</si>
  <si>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</si>
  <si>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510347100-JU4-G</t>
  </si>
  <si>
    <t>MOS N,NCE3420X,Vdss=20V,Id(max)=6A@Ta=25C,Ciss=655pF,VGS(th)=1.2V,33m Ohm@Vgs=4.5V,SOT23-3P,SMD,ROHS,HF</t>
  </si>
  <si>
    <t>NCEPOWER</t>
  </si>
  <si>
    <t>NCE3420X</t>
  </si>
  <si>
    <t>SD903</t>
  </si>
  <si>
    <t>XQ301</t>
  </si>
  <si>
    <t>SRT2,SRT4,SRT6,SRT7</t>
  </si>
  <si>
    <t>XU302</t>
  </si>
  <si>
    <t>T-PHJ0000-G</t>
  </si>
  <si>
    <t>IC,Intel 900 Series Chipset Family Platform Controller Hub,FHNVPSSKUDTWSL,MM:99DA32,S-spec:Q9LE,BGA-888P,SMD,ROHS,HF</t>
  </si>
  <si>
    <t>FHNVPSSKUDTWSL[VER.A0,Q9LE]</t>
  </si>
  <si>
    <t>U4</t>
  </si>
  <si>
    <t>U109,U110,VU100,VU101</t>
  </si>
  <si>
    <t>340229G00-67Y-G</t>
  </si>
  <si>
    <t>CONN,SO-DIMM,DDR V,1.1V,Reverse,0.5mm,Gold 10u inch,Black,SMD-262P,ROHS,HF</t>
  </si>
  <si>
    <t>ASAAC26-J8RB0-7H</t>
  </si>
  <si>
    <t>XMM1</t>
  </si>
  <si>
    <t>34022C000-GRS-G</t>
  </si>
  <si>
    <t>ADR51008-P003A03</t>
  </si>
  <si>
    <t>340228N00-67Y-G</t>
  </si>
  <si>
    <t>ASAAC26-J4RB0-7H</t>
  </si>
  <si>
    <t>XMM2</t>
  </si>
  <si>
    <t>34022C100-GRS-G</t>
  </si>
  <si>
    <t>ADR50012-P003A03</t>
  </si>
  <si>
    <t>71012D500-155-H</t>
  </si>
  <si>
    <t>XTAL,32.768KHz,+/-20ppm,CL=12.5pF,C0=2pF,Rs=50K Ohm,SMD-2P,ROHS,HF</t>
  </si>
  <si>
    <t>ETST00327000RE</t>
  </si>
  <si>
    <t>Y5</t>
  </si>
  <si>
    <t>71013BW00-3R5-G</t>
  </si>
  <si>
    <t>XTAL,32.768KHz,+/-20ppm,CL=12.5pF,C0=1.1pF,Rs=50K Ohm,SMD-2P,ROHS,HF</t>
  </si>
  <si>
    <t>SZTKD</t>
  </si>
  <si>
    <t>SF32WK32768D31T004</t>
  </si>
  <si>
    <t>710134L00-180-H</t>
  </si>
  <si>
    <t>XTL721-M99-113</t>
  </si>
  <si>
    <t>V</t>
  </si>
  <si>
    <t>V</t>
    <phoneticPr fontId="29" type="noConversion"/>
  </si>
  <si>
    <t>HQ5,HQ6,HQ7,PQ301,PQ502,PQ711,PQ712,PQ718,PQ721,PQ727,PQ752,PQ780,PQ852,PQ853,PQ960,Q2,Q10,SQ4,SQ7,SQ8,SQ10,SQ11,SQ19,VQ2</t>
    <phoneticPr fontId="29" type="noConversion"/>
  </si>
  <si>
    <t>PCE525,PCE526</t>
    <phoneticPr fontId="29" type="noConversion"/>
  </si>
  <si>
    <t>PCE945,PCE946,PCE947</t>
    <phoneticPr fontId="29" type="noConversion"/>
  </si>
  <si>
    <t>PQ520</t>
    <phoneticPr fontId="29" type="noConversion"/>
  </si>
  <si>
    <t>AONS36308FH</t>
    <phoneticPr fontId="29" type="noConversion"/>
  </si>
  <si>
    <t>PQ710,PQ715,PQ720,PQ930,PQ940</t>
    <phoneticPr fontId="29" type="noConversion"/>
  </si>
  <si>
    <t>PQ750</t>
    <phoneticPr fontId="29" type="noConversion"/>
  </si>
  <si>
    <t>PQ935,PQ936,PQ945</t>
    <phoneticPr fontId="29" type="noConversion"/>
  </si>
  <si>
    <t>PL210,PL220,PL230,PL240,PL250,PL610,PL620,PL290</t>
    <phoneticPr fontId="29" type="noConversion"/>
  </si>
  <si>
    <t>PU210,PU220,PU230,PU240,PU250,PU290,PU610,PU620</t>
    <phoneticPr fontId="29" type="noConversion"/>
  </si>
  <si>
    <t>HU6,HU10,HU11,PU851</t>
    <phoneticPr fontId="29" type="noConversion"/>
  </si>
  <si>
    <t>PD440</t>
    <phoneticPr fontId="29" type="noConversion"/>
  </si>
  <si>
    <t>PFB200,PFB201,PFB202,PFB203,PFB204,PFB420,PFB781,PFB900,PFB901,PFB902,PFB903</t>
    <phoneticPr fontId="29" type="noConversion"/>
  </si>
  <si>
    <t>Chip Inductor,1uH@1MHz,+/-20%,Isat=550mA,Irate=1300mA,DCR=163m Ohm,SMD0603,ROHS</t>
    <phoneticPr fontId="29" type="noConversion"/>
  </si>
  <si>
    <t>C33,PCE500,PCE782,PCE935,PCE936,PCE1279,PCE1280,PCE1281,PCE1282,PCE1283,PCE1284,PCE1285,PCE1289,PCE1290,PCE1293,PCE1294,UC111</t>
    <phoneticPr fontId="29" type="noConversion"/>
  </si>
  <si>
    <t>PL803</t>
    <phoneticPr fontId="29" type="noConversion"/>
  </si>
  <si>
    <t>Chip Inductor,1uH@1MHz,+/-20%,Isat=3.6A,Irate=2.7A,DCR=57m Ohm,SMD0806,ROHS,HF</t>
    <phoneticPr fontId="29" type="noConversion"/>
  </si>
  <si>
    <t>PL802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</si>
</sst>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indexed="8"/>
      <name val="新細明體"/>
      <family val="2"/>
      <scheme val="minor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color theme="1"/>
      <name val="Calibri"/>
      <family val="2"/>
    </font>
    <font>
      <sz val="11"/>
      <color theme="1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0" borderId="0" xfId="0" applyFont="1">
      <alignment vertical="center"/>
    </xf>
    <xf numFmtId="0" fontId="26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A4" sqref="A4"/>
    </sheetView>
  </sheetViews>
  <sheetFormatPr defaultRowHeight="15.75" x14ac:dyDescent="0.25"/>
  <cols>
    <col min="1" max="1" width="8" customWidth="1"/>
    <col min="2" max="4" width="18" customWidth="1"/>
    <col min="5" max="5" width="36" customWidth="1"/>
    <col min="6" max="6" width="15" customWidth="1"/>
    <col min="7" max="8" width="18" customWidth="1"/>
    <col min="9" max="9" width="20" customWidth="1"/>
  </cols>
  <sheetData>
    <row r="1" spans="1:9" ht="14.1" customHeight="1" x14ac:dyDescent="0.25">
      <c r="A1" s="62" t="s">
        <v>0</v>
      </c>
      <c r="B1" s="61"/>
      <c r="C1" s="61"/>
      <c r="D1" s="61"/>
      <c r="E1" s="61"/>
      <c r="F1" s="61"/>
      <c r="G1" s="61"/>
      <c r="H1" s="61"/>
      <c r="I1" s="61"/>
    </row>
    <row r="2" spans="1:9" ht="14.1" customHeight="1" x14ac:dyDescent="0.25">
      <c r="A2" s="62" t="s">
        <v>1</v>
      </c>
      <c r="B2" s="61"/>
      <c r="C2" s="61"/>
      <c r="D2" s="61"/>
      <c r="E2" s="61"/>
      <c r="F2" s="61"/>
      <c r="G2" s="61"/>
      <c r="H2" s="61"/>
      <c r="I2" s="61"/>
    </row>
    <row r="3" spans="1:9" ht="15" customHeight="1" x14ac:dyDescent="0.25">
      <c r="A3" s="1"/>
      <c r="B3" s="1" t="s">
        <v>2</v>
      </c>
      <c r="C3" s="1"/>
      <c r="D3" s="1"/>
      <c r="E3" s="1"/>
      <c r="F3" s="1"/>
      <c r="G3" s="1"/>
      <c r="H3" s="1" t="s">
        <v>3</v>
      </c>
      <c r="I3" s="1" t="s">
        <v>4</v>
      </c>
    </row>
    <row r="4" spans="1:9" ht="15" customHeight="1" x14ac:dyDescent="0.25">
      <c r="A4" s="1"/>
      <c r="B4" s="1" t="s">
        <v>5</v>
      </c>
      <c r="C4" s="1"/>
      <c r="D4" s="1"/>
      <c r="E4" s="1"/>
      <c r="F4" s="1"/>
      <c r="G4" s="1"/>
      <c r="H4" s="1" t="s">
        <v>6</v>
      </c>
      <c r="I4" s="1"/>
    </row>
    <row r="5" spans="1:9" ht="21.95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</row>
  </sheetData>
  <mergeCells count="2">
    <mergeCell ref="A1:I1"/>
    <mergeCell ref="A2:I2"/>
  </mergeCells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1"/>
  <sheetViews>
    <sheetView tabSelected="1" zoomScale="115" zoomScaleNormal="115" workbookViewId="0">
      <selection sqref="A1:R1"/>
    </sheetView>
  </sheetViews>
  <sheetFormatPr defaultRowHeight="20.100000000000001" customHeight="1" x14ac:dyDescent="0.25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34.42578125" customWidth="1"/>
    <col min="9" max="9" width="8.140625" bestFit="1" customWidth="1"/>
    <col min="10" max="10" width="7.42578125" bestFit="1" customWidth="1"/>
    <col min="11" max="13" width="6" style="31" customWidth="1"/>
    <col min="14" max="18" width="6" customWidth="1"/>
  </cols>
  <sheetData>
    <row r="1" spans="1:18" ht="20.100000000000001" customHeight="1" x14ac:dyDescent="0.2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20.100000000000001" customHeight="1" x14ac:dyDescent="0.25">
      <c r="A2" s="60" t="s">
        <v>16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ht="20.100000000000001" customHeight="1" x14ac:dyDescent="0.25">
      <c r="A3" s="4"/>
      <c r="B3" s="4" t="s">
        <v>2</v>
      </c>
      <c r="C3" s="4"/>
      <c r="D3" s="4" t="s">
        <v>17</v>
      </c>
      <c r="E3" s="4"/>
      <c r="F3" s="4" t="s">
        <v>18</v>
      </c>
      <c r="G3" s="4"/>
      <c r="H3" s="4" t="s">
        <v>3</v>
      </c>
      <c r="I3" s="4"/>
      <c r="J3" s="4" t="s">
        <v>4</v>
      </c>
      <c r="K3" s="27"/>
      <c r="L3" s="27"/>
      <c r="M3" s="27"/>
      <c r="N3" s="4"/>
      <c r="O3" s="4"/>
      <c r="P3" s="4"/>
      <c r="Q3" s="4"/>
      <c r="R3" s="4"/>
    </row>
    <row r="4" spans="1:18" ht="20.100000000000001" customHeight="1" x14ac:dyDescent="0.25">
      <c r="A4" s="4"/>
      <c r="B4" s="4" t="s">
        <v>5</v>
      </c>
      <c r="C4" s="4"/>
      <c r="D4" s="4"/>
      <c r="E4" s="4"/>
      <c r="F4" s="4" t="s">
        <v>19</v>
      </c>
      <c r="G4" s="4"/>
      <c r="H4" s="4" t="s">
        <v>6</v>
      </c>
      <c r="I4" s="4"/>
      <c r="J4" s="4"/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4"/>
    </row>
    <row r="5" spans="1:18" ht="20.100000000000001" customHeight="1" x14ac:dyDescent="0.25">
      <c r="A5" s="5" t="s">
        <v>8</v>
      </c>
      <c r="B5" s="5" t="s">
        <v>9</v>
      </c>
      <c r="C5" s="5" t="s">
        <v>10</v>
      </c>
      <c r="D5" s="5" t="s">
        <v>27</v>
      </c>
      <c r="E5" s="5" t="s">
        <v>12</v>
      </c>
      <c r="F5" s="5" t="s">
        <v>13</v>
      </c>
      <c r="G5" s="5" t="s">
        <v>28</v>
      </c>
      <c r="H5" s="5" t="s">
        <v>29</v>
      </c>
      <c r="I5" s="5" t="s">
        <v>30</v>
      </c>
      <c r="J5" s="5" t="s">
        <v>31</v>
      </c>
      <c r="K5" s="5">
        <v>159</v>
      </c>
      <c r="L5" s="5">
        <v>149</v>
      </c>
      <c r="M5" s="5">
        <v>144</v>
      </c>
      <c r="N5" s="5" t="s">
        <v>32</v>
      </c>
      <c r="O5" s="5" t="s">
        <v>32</v>
      </c>
      <c r="P5" s="5" t="s">
        <v>32</v>
      </c>
      <c r="Q5" s="5" t="s">
        <v>32</v>
      </c>
      <c r="R5" s="5" t="s">
        <v>33</v>
      </c>
    </row>
    <row r="6" spans="1:18" ht="20.100000000000001" customHeight="1" x14ac:dyDescent="0.25">
      <c r="A6" s="7">
        <v>38</v>
      </c>
      <c r="B6" s="9" t="s">
        <v>34</v>
      </c>
      <c r="C6" s="9"/>
      <c r="D6" s="9" t="s">
        <v>35</v>
      </c>
      <c r="E6" s="9" t="s">
        <v>36</v>
      </c>
      <c r="F6" s="9" t="s">
        <v>37</v>
      </c>
      <c r="G6" s="7">
        <v>1</v>
      </c>
      <c r="H6" s="9" t="s">
        <v>38</v>
      </c>
      <c r="I6" s="9">
        <f t="shared" ref="I6:I69" si="0">G6*J6</f>
        <v>159</v>
      </c>
      <c r="J6" s="9">
        <f t="shared" ref="J6:J69" si="1">IF(EXACT(K6,"V"),$K$5,0)+IF(EXACT(L6,"V"),$L$5,0)+IF(EXACT(M6,"V"),$M$5,0)+IF(EXACT(N6,"V"),$N$5,0)+IF(EXACT(O6,"V"),$O$5,0)+IF(EXACT(P6,"V"),$P$5,0)+IF(EXACT(Q6,"V"),$Q$5,0)</f>
        <v>159</v>
      </c>
      <c r="K6" s="3" t="s">
        <v>1289</v>
      </c>
      <c r="L6" s="28" t="s">
        <v>32</v>
      </c>
      <c r="M6" s="28" t="s">
        <v>32</v>
      </c>
      <c r="N6" s="9" t="s">
        <v>32</v>
      </c>
      <c r="O6" s="9" t="s">
        <v>32</v>
      </c>
      <c r="P6" s="9" t="s">
        <v>32</v>
      </c>
      <c r="Q6" s="9" t="s">
        <v>32</v>
      </c>
      <c r="R6" s="9" t="s">
        <v>32</v>
      </c>
    </row>
    <row r="7" spans="1:18" ht="20.100000000000001" customHeight="1" x14ac:dyDescent="0.25">
      <c r="A7" s="7"/>
      <c r="B7" s="9" t="s">
        <v>39</v>
      </c>
      <c r="C7" s="9"/>
      <c r="D7" s="9" t="s">
        <v>40</v>
      </c>
      <c r="E7" s="9" t="s">
        <v>41</v>
      </c>
      <c r="F7" s="9" t="s">
        <v>42</v>
      </c>
      <c r="G7" s="7">
        <v>1</v>
      </c>
      <c r="H7" s="9" t="s">
        <v>32</v>
      </c>
      <c r="I7" s="9">
        <f t="shared" si="0"/>
        <v>149</v>
      </c>
      <c r="J7" s="9">
        <f t="shared" si="1"/>
        <v>149</v>
      </c>
      <c r="K7" s="28" t="s">
        <v>32</v>
      </c>
      <c r="L7" s="3" t="s">
        <v>1289</v>
      </c>
      <c r="M7" s="28" t="s">
        <v>32</v>
      </c>
      <c r="N7" s="9" t="s">
        <v>32</v>
      </c>
      <c r="O7" s="9" t="s">
        <v>32</v>
      </c>
      <c r="P7" s="9" t="s">
        <v>32</v>
      </c>
      <c r="Q7" s="9" t="s">
        <v>32</v>
      </c>
      <c r="R7" s="9" t="s">
        <v>32</v>
      </c>
    </row>
    <row r="8" spans="1:18" ht="20.100000000000001" customHeight="1" x14ac:dyDescent="0.25">
      <c r="A8" s="7"/>
      <c r="B8" s="9" t="s">
        <v>43</v>
      </c>
      <c r="C8" s="9"/>
      <c r="D8" s="9" t="s">
        <v>44</v>
      </c>
      <c r="E8" s="9" t="s">
        <v>45</v>
      </c>
      <c r="F8" s="9" t="s">
        <v>46</v>
      </c>
      <c r="G8" s="7">
        <v>1</v>
      </c>
      <c r="H8" s="9" t="s">
        <v>32</v>
      </c>
      <c r="I8" s="9">
        <f t="shared" si="0"/>
        <v>144</v>
      </c>
      <c r="J8" s="9">
        <f t="shared" si="1"/>
        <v>144</v>
      </c>
      <c r="K8" s="28" t="s">
        <v>32</v>
      </c>
      <c r="L8" s="28" t="s">
        <v>32</v>
      </c>
      <c r="M8" s="3" t="s">
        <v>1289</v>
      </c>
      <c r="N8" s="9" t="s">
        <v>32</v>
      </c>
      <c r="O8" s="9" t="s">
        <v>32</v>
      </c>
      <c r="P8" s="9" t="s">
        <v>32</v>
      </c>
      <c r="Q8" s="9" t="s">
        <v>32</v>
      </c>
      <c r="R8" s="9" t="s">
        <v>32</v>
      </c>
    </row>
    <row r="9" spans="1:18" ht="20.100000000000001" customHeight="1" x14ac:dyDescent="0.25">
      <c r="A9" s="8">
        <v>39</v>
      </c>
      <c r="B9" s="10" t="s">
        <v>47</v>
      </c>
      <c r="C9" s="10"/>
      <c r="D9" s="10" t="s">
        <v>48</v>
      </c>
      <c r="E9" s="10" t="s">
        <v>49</v>
      </c>
      <c r="F9" s="10" t="s">
        <v>50</v>
      </c>
      <c r="G9" s="8">
        <v>6</v>
      </c>
      <c r="H9" s="10" t="s">
        <v>51</v>
      </c>
      <c r="I9" s="10">
        <f t="shared" si="0"/>
        <v>954</v>
      </c>
      <c r="J9" s="10">
        <f t="shared" si="1"/>
        <v>159</v>
      </c>
      <c r="K9" s="30" t="s">
        <v>1289</v>
      </c>
      <c r="L9" s="29" t="s">
        <v>32</v>
      </c>
      <c r="M9" s="29" t="s">
        <v>32</v>
      </c>
      <c r="N9" s="10" t="s">
        <v>32</v>
      </c>
      <c r="O9" s="10" t="s">
        <v>32</v>
      </c>
      <c r="P9" s="10" t="s">
        <v>32</v>
      </c>
      <c r="Q9" s="10" t="s">
        <v>32</v>
      </c>
      <c r="R9" s="10" t="s">
        <v>32</v>
      </c>
    </row>
    <row r="10" spans="1:18" ht="20.100000000000001" customHeight="1" x14ac:dyDescent="0.25">
      <c r="A10" s="8"/>
      <c r="B10" s="10" t="s">
        <v>52</v>
      </c>
      <c r="C10" s="10"/>
      <c r="D10" s="10" t="s">
        <v>53</v>
      </c>
      <c r="E10" s="10" t="s">
        <v>54</v>
      </c>
      <c r="F10" s="10" t="s">
        <v>55</v>
      </c>
      <c r="G10" s="8">
        <v>6</v>
      </c>
      <c r="H10" s="10" t="s">
        <v>32</v>
      </c>
      <c r="I10" s="10">
        <f t="shared" si="0"/>
        <v>894</v>
      </c>
      <c r="J10" s="10">
        <f t="shared" si="1"/>
        <v>149</v>
      </c>
      <c r="K10" s="29" t="s">
        <v>32</v>
      </c>
      <c r="L10" s="30" t="s">
        <v>1289</v>
      </c>
      <c r="M10" s="29" t="s">
        <v>32</v>
      </c>
      <c r="N10" s="10" t="s">
        <v>32</v>
      </c>
      <c r="O10" s="10" t="s">
        <v>32</v>
      </c>
      <c r="P10" s="10" t="s">
        <v>32</v>
      </c>
      <c r="Q10" s="10" t="s">
        <v>32</v>
      </c>
      <c r="R10" s="10" t="s">
        <v>32</v>
      </c>
    </row>
    <row r="11" spans="1:18" ht="20.100000000000001" customHeight="1" x14ac:dyDescent="0.25">
      <c r="A11" s="8"/>
      <c r="B11" s="10" t="s">
        <v>56</v>
      </c>
      <c r="C11" s="10"/>
      <c r="D11" s="10" t="s">
        <v>57</v>
      </c>
      <c r="E11" s="10" t="s">
        <v>58</v>
      </c>
      <c r="F11" s="10" t="s">
        <v>59</v>
      </c>
      <c r="G11" s="8">
        <v>6</v>
      </c>
      <c r="H11" s="10" t="s">
        <v>32</v>
      </c>
      <c r="I11" s="10">
        <f t="shared" si="0"/>
        <v>864</v>
      </c>
      <c r="J11" s="10">
        <f t="shared" si="1"/>
        <v>144</v>
      </c>
      <c r="K11" s="29" t="s">
        <v>32</v>
      </c>
      <c r="L11" s="29" t="s">
        <v>32</v>
      </c>
      <c r="M11" s="30" t="s">
        <v>1289</v>
      </c>
      <c r="N11" s="10" t="s">
        <v>32</v>
      </c>
      <c r="O11" s="10" t="s">
        <v>32</v>
      </c>
      <c r="P11" s="10" t="s">
        <v>32</v>
      </c>
      <c r="Q11" s="10" t="s">
        <v>32</v>
      </c>
      <c r="R11" s="10" t="s">
        <v>32</v>
      </c>
    </row>
    <row r="12" spans="1:18" ht="20.100000000000001" customHeight="1" x14ac:dyDescent="0.25">
      <c r="A12" s="7">
        <v>40</v>
      </c>
      <c r="B12" s="9" t="s">
        <v>60</v>
      </c>
      <c r="C12" s="9"/>
      <c r="D12" s="9" t="s">
        <v>61</v>
      </c>
      <c r="E12" s="9" t="s">
        <v>49</v>
      </c>
      <c r="F12" s="9" t="s">
        <v>62</v>
      </c>
      <c r="G12" s="7">
        <v>3</v>
      </c>
      <c r="H12" s="9" t="s">
        <v>63</v>
      </c>
      <c r="I12" s="9">
        <f t="shared" si="0"/>
        <v>477</v>
      </c>
      <c r="J12" s="9">
        <f t="shared" si="1"/>
        <v>159</v>
      </c>
      <c r="K12" s="3" t="s">
        <v>1289</v>
      </c>
      <c r="L12" s="28" t="s">
        <v>32</v>
      </c>
      <c r="M12" s="28" t="s">
        <v>32</v>
      </c>
      <c r="N12" s="9" t="s">
        <v>32</v>
      </c>
      <c r="O12" s="9" t="s">
        <v>32</v>
      </c>
      <c r="P12" s="9" t="s">
        <v>32</v>
      </c>
      <c r="Q12" s="9" t="s">
        <v>32</v>
      </c>
      <c r="R12" s="9" t="s">
        <v>32</v>
      </c>
    </row>
    <row r="13" spans="1:18" ht="20.100000000000001" customHeight="1" x14ac:dyDescent="0.25">
      <c r="A13" s="7"/>
      <c r="B13" s="9" t="s">
        <v>64</v>
      </c>
      <c r="C13" s="9"/>
      <c r="D13" s="9" t="s">
        <v>65</v>
      </c>
      <c r="E13" s="9" t="s">
        <v>66</v>
      </c>
      <c r="F13" s="9" t="s">
        <v>67</v>
      </c>
      <c r="G13" s="7">
        <v>3</v>
      </c>
      <c r="H13" s="9" t="s">
        <v>32</v>
      </c>
      <c r="I13" s="9">
        <f t="shared" si="0"/>
        <v>447</v>
      </c>
      <c r="J13" s="9">
        <f t="shared" si="1"/>
        <v>149</v>
      </c>
      <c r="K13" s="28" t="s">
        <v>32</v>
      </c>
      <c r="L13" s="3" t="s">
        <v>1289</v>
      </c>
      <c r="M13" s="28" t="s">
        <v>32</v>
      </c>
      <c r="N13" s="9" t="s">
        <v>32</v>
      </c>
      <c r="O13" s="9" t="s">
        <v>32</v>
      </c>
      <c r="P13" s="9" t="s">
        <v>32</v>
      </c>
      <c r="Q13" s="9" t="s">
        <v>32</v>
      </c>
      <c r="R13" s="9" t="s">
        <v>32</v>
      </c>
    </row>
    <row r="14" spans="1:18" ht="20.100000000000001" customHeight="1" x14ac:dyDescent="0.25">
      <c r="A14" s="7"/>
      <c r="B14" s="9" t="s">
        <v>68</v>
      </c>
      <c r="C14" s="9"/>
      <c r="D14" s="9" t="s">
        <v>69</v>
      </c>
      <c r="E14" s="9" t="s">
        <v>70</v>
      </c>
      <c r="F14" s="9" t="s">
        <v>71</v>
      </c>
      <c r="G14" s="7">
        <v>3</v>
      </c>
      <c r="H14" s="9" t="s">
        <v>32</v>
      </c>
      <c r="I14" s="9">
        <f t="shared" si="0"/>
        <v>432</v>
      </c>
      <c r="J14" s="9">
        <f t="shared" si="1"/>
        <v>144</v>
      </c>
      <c r="K14" s="28" t="s">
        <v>32</v>
      </c>
      <c r="L14" s="28" t="s">
        <v>32</v>
      </c>
      <c r="M14" s="3" t="s">
        <v>1289</v>
      </c>
      <c r="N14" s="9" t="s">
        <v>32</v>
      </c>
      <c r="O14" s="9" t="s">
        <v>32</v>
      </c>
      <c r="P14" s="9" t="s">
        <v>32</v>
      </c>
      <c r="Q14" s="9" t="s">
        <v>32</v>
      </c>
      <c r="R14" s="9" t="s">
        <v>32</v>
      </c>
    </row>
    <row r="15" spans="1:18" ht="20.100000000000001" customHeight="1" x14ac:dyDescent="0.25">
      <c r="A15" s="8">
        <v>44</v>
      </c>
      <c r="B15" s="10" t="s">
        <v>72</v>
      </c>
      <c r="C15" s="10"/>
      <c r="D15" s="10" t="s">
        <v>73</v>
      </c>
      <c r="E15" s="10" t="s">
        <v>74</v>
      </c>
      <c r="F15" s="10" t="s">
        <v>75</v>
      </c>
      <c r="G15" s="8">
        <v>4</v>
      </c>
      <c r="H15" s="10" t="s">
        <v>76</v>
      </c>
      <c r="I15" s="10">
        <f t="shared" si="0"/>
        <v>636</v>
      </c>
      <c r="J15" s="10">
        <f t="shared" si="1"/>
        <v>159</v>
      </c>
      <c r="K15" s="30" t="s">
        <v>1289</v>
      </c>
      <c r="L15" s="29" t="s">
        <v>32</v>
      </c>
      <c r="M15" s="29" t="s">
        <v>32</v>
      </c>
      <c r="N15" s="10" t="s">
        <v>32</v>
      </c>
      <c r="O15" s="10" t="s">
        <v>32</v>
      </c>
      <c r="P15" s="10" t="s">
        <v>32</v>
      </c>
      <c r="Q15" s="10" t="s">
        <v>32</v>
      </c>
      <c r="R15" s="10" t="s">
        <v>32</v>
      </c>
    </row>
    <row r="16" spans="1:18" ht="20.100000000000001" customHeight="1" x14ac:dyDescent="0.25">
      <c r="A16" s="8"/>
      <c r="B16" s="10" t="s">
        <v>77</v>
      </c>
      <c r="C16" s="10"/>
      <c r="D16" s="10" t="s">
        <v>73</v>
      </c>
      <c r="E16" s="10" t="s">
        <v>78</v>
      </c>
      <c r="F16" s="10" t="s">
        <v>75</v>
      </c>
      <c r="G16" s="8">
        <v>4</v>
      </c>
      <c r="H16" s="10" t="s">
        <v>32</v>
      </c>
      <c r="I16" s="10">
        <f t="shared" si="0"/>
        <v>596</v>
      </c>
      <c r="J16" s="10">
        <f t="shared" si="1"/>
        <v>149</v>
      </c>
      <c r="K16" s="29" t="s">
        <v>32</v>
      </c>
      <c r="L16" s="30" t="s">
        <v>1289</v>
      </c>
      <c r="M16" s="29" t="s">
        <v>32</v>
      </c>
      <c r="N16" s="10" t="s">
        <v>32</v>
      </c>
      <c r="O16" s="10" t="s">
        <v>32</v>
      </c>
      <c r="P16" s="10" t="s">
        <v>32</v>
      </c>
      <c r="Q16" s="10" t="s">
        <v>32</v>
      </c>
      <c r="R16" s="10" t="s">
        <v>32</v>
      </c>
    </row>
    <row r="17" spans="1:18" ht="20.100000000000001" customHeight="1" x14ac:dyDescent="0.25">
      <c r="A17" s="8"/>
      <c r="B17" s="10" t="s">
        <v>79</v>
      </c>
      <c r="C17" s="10"/>
      <c r="D17" s="10" t="s">
        <v>80</v>
      </c>
      <c r="E17" s="10" t="s">
        <v>81</v>
      </c>
      <c r="F17" s="10" t="s">
        <v>82</v>
      </c>
      <c r="G17" s="8">
        <v>4</v>
      </c>
      <c r="H17" s="10" t="s">
        <v>32</v>
      </c>
      <c r="I17" s="10">
        <f t="shared" si="0"/>
        <v>576</v>
      </c>
      <c r="J17" s="10">
        <f t="shared" si="1"/>
        <v>144</v>
      </c>
      <c r="K17" s="29" t="s">
        <v>32</v>
      </c>
      <c r="L17" s="29" t="s">
        <v>32</v>
      </c>
      <c r="M17" s="30" t="s">
        <v>1289</v>
      </c>
      <c r="N17" s="10" t="s">
        <v>32</v>
      </c>
      <c r="O17" s="10" t="s">
        <v>32</v>
      </c>
      <c r="P17" s="10" t="s">
        <v>32</v>
      </c>
      <c r="Q17" s="10" t="s">
        <v>32</v>
      </c>
      <c r="R17" s="10" t="s">
        <v>32</v>
      </c>
    </row>
    <row r="18" spans="1:18" ht="20.100000000000001" customHeight="1" x14ac:dyDescent="0.25">
      <c r="A18" s="7">
        <v>45</v>
      </c>
      <c r="B18" s="9" t="s">
        <v>83</v>
      </c>
      <c r="C18" s="9"/>
      <c r="D18" s="9" t="s">
        <v>84</v>
      </c>
      <c r="E18" s="9" t="s">
        <v>85</v>
      </c>
      <c r="F18" s="9" t="s">
        <v>86</v>
      </c>
      <c r="G18" s="7">
        <v>2</v>
      </c>
      <c r="H18" s="9" t="s">
        <v>87</v>
      </c>
      <c r="I18" s="9">
        <f t="shared" si="0"/>
        <v>318</v>
      </c>
      <c r="J18" s="9">
        <f t="shared" si="1"/>
        <v>159</v>
      </c>
      <c r="K18" s="3" t="s">
        <v>1289</v>
      </c>
      <c r="L18" s="28" t="s">
        <v>32</v>
      </c>
      <c r="M18" s="28" t="s">
        <v>32</v>
      </c>
      <c r="N18" s="9" t="s">
        <v>32</v>
      </c>
      <c r="O18" s="9" t="s">
        <v>32</v>
      </c>
      <c r="P18" s="9" t="s">
        <v>32</v>
      </c>
      <c r="Q18" s="9" t="s">
        <v>32</v>
      </c>
      <c r="R18" s="9" t="s">
        <v>32</v>
      </c>
    </row>
    <row r="19" spans="1:18" ht="20.100000000000001" customHeight="1" x14ac:dyDescent="0.25">
      <c r="A19" s="7"/>
      <c r="B19" s="9" t="s">
        <v>88</v>
      </c>
      <c r="C19" s="9"/>
      <c r="D19" s="9" t="s">
        <v>89</v>
      </c>
      <c r="E19" s="9" t="s">
        <v>78</v>
      </c>
      <c r="F19" s="9" t="s">
        <v>90</v>
      </c>
      <c r="G19" s="7">
        <v>2</v>
      </c>
      <c r="H19" s="9" t="s">
        <v>32</v>
      </c>
      <c r="I19" s="9">
        <f t="shared" si="0"/>
        <v>298</v>
      </c>
      <c r="J19" s="9">
        <f t="shared" si="1"/>
        <v>149</v>
      </c>
      <c r="K19" s="28" t="s">
        <v>32</v>
      </c>
      <c r="L19" s="3" t="s">
        <v>1289</v>
      </c>
      <c r="M19" s="28" t="s">
        <v>32</v>
      </c>
      <c r="N19" s="9" t="s">
        <v>32</v>
      </c>
      <c r="O19" s="9" t="s">
        <v>32</v>
      </c>
      <c r="P19" s="9" t="s">
        <v>32</v>
      </c>
      <c r="Q19" s="9" t="s">
        <v>32</v>
      </c>
      <c r="R19" s="9" t="s">
        <v>32</v>
      </c>
    </row>
    <row r="20" spans="1:18" ht="20.100000000000001" customHeight="1" x14ac:dyDescent="0.25">
      <c r="A20" s="7"/>
      <c r="B20" s="9" t="s">
        <v>91</v>
      </c>
      <c r="C20" s="9"/>
      <c r="D20" s="9" t="s">
        <v>92</v>
      </c>
      <c r="E20" s="9" t="s">
        <v>93</v>
      </c>
      <c r="F20" s="9" t="s">
        <v>94</v>
      </c>
      <c r="G20" s="7">
        <v>2</v>
      </c>
      <c r="H20" s="9" t="s">
        <v>32</v>
      </c>
      <c r="I20" s="9">
        <f t="shared" si="0"/>
        <v>288</v>
      </c>
      <c r="J20" s="9">
        <f t="shared" si="1"/>
        <v>144</v>
      </c>
      <c r="K20" s="28" t="s">
        <v>32</v>
      </c>
      <c r="L20" s="28" t="s">
        <v>32</v>
      </c>
      <c r="M20" s="3" t="s">
        <v>1289</v>
      </c>
      <c r="N20" s="9" t="s">
        <v>32</v>
      </c>
      <c r="O20" s="9" t="s">
        <v>32</v>
      </c>
      <c r="P20" s="9" t="s">
        <v>32</v>
      </c>
      <c r="Q20" s="9" t="s">
        <v>32</v>
      </c>
      <c r="R20" s="9" t="s">
        <v>32</v>
      </c>
    </row>
    <row r="21" spans="1:18" ht="20.100000000000001" customHeight="1" x14ac:dyDescent="0.25">
      <c r="A21" s="8">
        <v>100</v>
      </c>
      <c r="B21" s="10" t="s">
        <v>95</v>
      </c>
      <c r="C21" s="10"/>
      <c r="D21" s="10" t="s">
        <v>96</v>
      </c>
      <c r="E21" s="10" t="s">
        <v>97</v>
      </c>
      <c r="F21" s="10" t="s">
        <v>98</v>
      </c>
      <c r="G21" s="8">
        <v>1</v>
      </c>
      <c r="H21" s="10" t="s">
        <v>99</v>
      </c>
      <c r="I21" s="10">
        <f t="shared" si="0"/>
        <v>159</v>
      </c>
      <c r="J21" s="10">
        <f t="shared" si="1"/>
        <v>159</v>
      </c>
      <c r="K21" s="30" t="s">
        <v>1289</v>
      </c>
      <c r="L21" s="29" t="s">
        <v>32</v>
      </c>
      <c r="M21" s="29" t="s">
        <v>32</v>
      </c>
      <c r="N21" s="10" t="s">
        <v>32</v>
      </c>
      <c r="O21" s="10" t="s">
        <v>32</v>
      </c>
      <c r="P21" s="10" t="s">
        <v>32</v>
      </c>
      <c r="Q21" s="10" t="s">
        <v>32</v>
      </c>
      <c r="R21" s="10" t="s">
        <v>32</v>
      </c>
    </row>
    <row r="22" spans="1:18" ht="20.100000000000001" customHeight="1" x14ac:dyDescent="0.25">
      <c r="A22" s="8"/>
      <c r="B22" s="10" t="s">
        <v>100</v>
      </c>
      <c r="C22" s="10"/>
      <c r="D22" s="10" t="s">
        <v>101</v>
      </c>
      <c r="E22" s="10" t="s">
        <v>102</v>
      </c>
      <c r="F22" s="10" t="s">
        <v>103</v>
      </c>
      <c r="G22" s="8">
        <v>1</v>
      </c>
      <c r="H22" s="10" t="s">
        <v>32</v>
      </c>
      <c r="I22" s="10">
        <f t="shared" si="0"/>
        <v>149</v>
      </c>
      <c r="J22" s="10">
        <f t="shared" si="1"/>
        <v>149</v>
      </c>
      <c r="K22" s="29" t="s">
        <v>32</v>
      </c>
      <c r="L22" s="30" t="s">
        <v>1289</v>
      </c>
      <c r="M22" s="29" t="s">
        <v>32</v>
      </c>
      <c r="N22" s="10" t="s">
        <v>32</v>
      </c>
      <c r="O22" s="10" t="s">
        <v>32</v>
      </c>
      <c r="P22" s="10" t="s">
        <v>32</v>
      </c>
      <c r="Q22" s="10" t="s">
        <v>32</v>
      </c>
      <c r="R22" s="10" t="s">
        <v>32</v>
      </c>
    </row>
    <row r="23" spans="1:18" ht="20.100000000000001" customHeight="1" x14ac:dyDescent="0.25">
      <c r="A23" s="8"/>
      <c r="B23" s="10" t="s">
        <v>104</v>
      </c>
      <c r="C23" s="10"/>
      <c r="D23" s="10" t="s">
        <v>105</v>
      </c>
      <c r="E23" s="10" t="s">
        <v>106</v>
      </c>
      <c r="F23" s="10" t="s">
        <v>107</v>
      </c>
      <c r="G23" s="8">
        <v>1</v>
      </c>
      <c r="H23" s="10" t="s">
        <v>32</v>
      </c>
      <c r="I23" s="10">
        <f t="shared" si="0"/>
        <v>144</v>
      </c>
      <c r="J23" s="10">
        <f t="shared" si="1"/>
        <v>144</v>
      </c>
      <c r="K23" s="29" t="s">
        <v>32</v>
      </c>
      <c r="L23" s="29" t="s">
        <v>32</v>
      </c>
      <c r="M23" s="30" t="s">
        <v>1289</v>
      </c>
      <c r="N23" s="10" t="s">
        <v>32</v>
      </c>
      <c r="O23" s="10" t="s">
        <v>32</v>
      </c>
      <c r="P23" s="10" t="s">
        <v>32</v>
      </c>
      <c r="Q23" s="10" t="s">
        <v>32</v>
      </c>
      <c r="R23" s="10" t="s">
        <v>32</v>
      </c>
    </row>
    <row r="24" spans="1:18" ht="20.100000000000001" customHeight="1" x14ac:dyDescent="0.25">
      <c r="A24" s="7">
        <v>101</v>
      </c>
      <c r="B24" s="9" t="s">
        <v>108</v>
      </c>
      <c r="C24" s="9"/>
      <c r="D24" s="9" t="s">
        <v>109</v>
      </c>
      <c r="E24" s="9" t="s">
        <v>106</v>
      </c>
      <c r="F24" s="9" t="s">
        <v>110</v>
      </c>
      <c r="G24" s="7">
        <v>1</v>
      </c>
      <c r="H24" s="9" t="s">
        <v>111</v>
      </c>
      <c r="I24" s="9">
        <f t="shared" si="0"/>
        <v>159</v>
      </c>
      <c r="J24" s="9">
        <f t="shared" si="1"/>
        <v>159</v>
      </c>
      <c r="K24" s="3" t="s">
        <v>1289</v>
      </c>
      <c r="L24" s="28" t="s">
        <v>32</v>
      </c>
      <c r="M24" s="28" t="s">
        <v>32</v>
      </c>
      <c r="N24" s="9" t="s">
        <v>32</v>
      </c>
      <c r="O24" s="9" t="s">
        <v>32</v>
      </c>
      <c r="P24" s="9" t="s">
        <v>32</v>
      </c>
      <c r="Q24" s="9" t="s">
        <v>32</v>
      </c>
      <c r="R24" s="9" t="s">
        <v>32</v>
      </c>
    </row>
    <row r="25" spans="1:18" ht="20.100000000000001" customHeight="1" x14ac:dyDescent="0.25">
      <c r="A25" s="7"/>
      <c r="B25" s="9" t="s">
        <v>112</v>
      </c>
      <c r="C25" s="9"/>
      <c r="D25" s="9" t="s">
        <v>113</v>
      </c>
      <c r="E25" s="9" t="s">
        <v>114</v>
      </c>
      <c r="F25" s="9" t="s">
        <v>115</v>
      </c>
      <c r="G25" s="7">
        <v>1</v>
      </c>
      <c r="H25" s="9" t="s">
        <v>32</v>
      </c>
      <c r="I25" s="9">
        <f t="shared" si="0"/>
        <v>149</v>
      </c>
      <c r="J25" s="9">
        <f t="shared" si="1"/>
        <v>149</v>
      </c>
      <c r="K25" s="28" t="s">
        <v>32</v>
      </c>
      <c r="L25" s="3" t="s">
        <v>1289</v>
      </c>
      <c r="M25" s="28" t="s">
        <v>32</v>
      </c>
      <c r="N25" s="9" t="s">
        <v>32</v>
      </c>
      <c r="O25" s="9" t="s">
        <v>32</v>
      </c>
      <c r="P25" s="9" t="s">
        <v>32</v>
      </c>
      <c r="Q25" s="9" t="s">
        <v>32</v>
      </c>
      <c r="R25" s="9" t="s">
        <v>32</v>
      </c>
    </row>
    <row r="26" spans="1:18" ht="20.100000000000001" customHeight="1" x14ac:dyDescent="0.25">
      <c r="A26" s="7"/>
      <c r="B26" s="9" t="s">
        <v>116</v>
      </c>
      <c r="C26" s="9"/>
      <c r="D26" s="9" t="s">
        <v>117</v>
      </c>
      <c r="E26" s="9" t="s">
        <v>102</v>
      </c>
      <c r="F26" s="9" t="s">
        <v>118</v>
      </c>
      <c r="G26" s="7">
        <v>1</v>
      </c>
      <c r="H26" s="9" t="s">
        <v>32</v>
      </c>
      <c r="I26" s="9">
        <f t="shared" si="0"/>
        <v>144</v>
      </c>
      <c r="J26" s="9">
        <f t="shared" si="1"/>
        <v>144</v>
      </c>
      <c r="K26" s="28" t="s">
        <v>32</v>
      </c>
      <c r="L26" s="28" t="s">
        <v>32</v>
      </c>
      <c r="M26" s="3" t="s">
        <v>1289</v>
      </c>
      <c r="N26" s="9" t="s">
        <v>32</v>
      </c>
      <c r="O26" s="9" t="s">
        <v>32</v>
      </c>
      <c r="P26" s="9" t="s">
        <v>32</v>
      </c>
      <c r="Q26" s="9" t="s">
        <v>32</v>
      </c>
      <c r="R26" s="9" t="s">
        <v>32</v>
      </c>
    </row>
    <row r="27" spans="1:18" ht="20.100000000000001" customHeight="1" x14ac:dyDescent="0.25">
      <c r="A27" s="8">
        <v>102</v>
      </c>
      <c r="B27" s="10" t="s">
        <v>119</v>
      </c>
      <c r="C27" s="10"/>
      <c r="D27" s="10" t="s">
        <v>120</v>
      </c>
      <c r="E27" s="10" t="s">
        <v>97</v>
      </c>
      <c r="F27" s="10" t="s">
        <v>121</v>
      </c>
      <c r="G27" s="8">
        <v>1</v>
      </c>
      <c r="H27" s="10" t="s">
        <v>122</v>
      </c>
      <c r="I27" s="10">
        <f t="shared" si="0"/>
        <v>159</v>
      </c>
      <c r="J27" s="10">
        <f t="shared" si="1"/>
        <v>159</v>
      </c>
      <c r="K27" s="30" t="s">
        <v>1289</v>
      </c>
      <c r="L27" s="29" t="s">
        <v>32</v>
      </c>
      <c r="M27" s="29" t="s">
        <v>32</v>
      </c>
      <c r="N27" s="10" t="s">
        <v>32</v>
      </c>
      <c r="O27" s="10" t="s">
        <v>32</v>
      </c>
      <c r="P27" s="10" t="s">
        <v>32</v>
      </c>
      <c r="Q27" s="10" t="s">
        <v>32</v>
      </c>
      <c r="R27" s="10" t="s">
        <v>32</v>
      </c>
    </row>
    <row r="28" spans="1:18" ht="20.100000000000001" customHeight="1" x14ac:dyDescent="0.25">
      <c r="A28" s="8"/>
      <c r="B28" s="10" t="s">
        <v>123</v>
      </c>
      <c r="C28" s="10"/>
      <c r="D28" s="10" t="s">
        <v>124</v>
      </c>
      <c r="E28" s="10" t="s">
        <v>106</v>
      </c>
      <c r="F28" s="10" t="s">
        <v>125</v>
      </c>
      <c r="G28" s="8">
        <v>1</v>
      </c>
      <c r="H28" s="10" t="s">
        <v>32</v>
      </c>
      <c r="I28" s="10">
        <f t="shared" si="0"/>
        <v>149</v>
      </c>
      <c r="J28" s="10">
        <f t="shared" si="1"/>
        <v>149</v>
      </c>
      <c r="K28" s="29" t="s">
        <v>32</v>
      </c>
      <c r="L28" s="30" t="s">
        <v>1289</v>
      </c>
      <c r="M28" s="29" t="s">
        <v>32</v>
      </c>
      <c r="N28" s="10" t="s">
        <v>32</v>
      </c>
      <c r="O28" s="10" t="s">
        <v>32</v>
      </c>
      <c r="P28" s="10" t="s">
        <v>32</v>
      </c>
      <c r="Q28" s="10" t="s">
        <v>32</v>
      </c>
      <c r="R28" s="10" t="s">
        <v>32</v>
      </c>
    </row>
    <row r="29" spans="1:18" ht="20.100000000000001" customHeight="1" x14ac:dyDescent="0.25">
      <c r="A29" s="8"/>
      <c r="B29" s="10" t="s">
        <v>126</v>
      </c>
      <c r="C29" s="10"/>
      <c r="D29" s="10" t="s">
        <v>127</v>
      </c>
      <c r="E29" s="10" t="s">
        <v>102</v>
      </c>
      <c r="F29" s="10" t="s">
        <v>128</v>
      </c>
      <c r="G29" s="8">
        <v>1</v>
      </c>
      <c r="H29" s="10" t="s">
        <v>32</v>
      </c>
      <c r="I29" s="10">
        <f t="shared" si="0"/>
        <v>144</v>
      </c>
      <c r="J29" s="10">
        <f t="shared" si="1"/>
        <v>144</v>
      </c>
      <c r="K29" s="29" t="s">
        <v>32</v>
      </c>
      <c r="L29" s="29" t="s">
        <v>32</v>
      </c>
      <c r="M29" s="30" t="s">
        <v>1289</v>
      </c>
      <c r="N29" s="10" t="s">
        <v>32</v>
      </c>
      <c r="O29" s="10" t="s">
        <v>32</v>
      </c>
      <c r="P29" s="10" t="s">
        <v>32</v>
      </c>
      <c r="Q29" s="10" t="s">
        <v>32</v>
      </c>
      <c r="R29" s="10" t="s">
        <v>32</v>
      </c>
    </row>
    <row r="30" spans="1:18" ht="20.100000000000001" customHeight="1" x14ac:dyDescent="0.25">
      <c r="A30" s="7">
        <v>151</v>
      </c>
      <c r="B30" s="9" t="s">
        <v>129</v>
      </c>
      <c r="C30" s="9"/>
      <c r="D30" s="9" t="s">
        <v>130</v>
      </c>
      <c r="E30" s="9" t="s">
        <v>131</v>
      </c>
      <c r="F30" s="9" t="s">
        <v>132</v>
      </c>
      <c r="G30" s="7">
        <v>6</v>
      </c>
      <c r="H30" s="9" t="s">
        <v>133</v>
      </c>
      <c r="I30" s="9">
        <f t="shared" si="0"/>
        <v>954</v>
      </c>
      <c r="J30" s="9">
        <f t="shared" si="1"/>
        <v>159</v>
      </c>
      <c r="K30" s="3" t="s">
        <v>1289</v>
      </c>
      <c r="L30" s="28" t="s">
        <v>32</v>
      </c>
      <c r="M30" s="28" t="s">
        <v>32</v>
      </c>
      <c r="N30" s="9" t="s">
        <v>32</v>
      </c>
      <c r="O30" s="9" t="s">
        <v>32</v>
      </c>
      <c r="P30" s="9" t="s">
        <v>32</v>
      </c>
      <c r="Q30" s="9" t="s">
        <v>32</v>
      </c>
      <c r="R30" s="9" t="s">
        <v>32</v>
      </c>
    </row>
    <row r="31" spans="1:18" ht="20.100000000000001" customHeight="1" x14ac:dyDescent="0.25">
      <c r="A31" s="7"/>
      <c r="B31" s="9" t="s">
        <v>134</v>
      </c>
      <c r="C31" s="9"/>
      <c r="D31" s="9" t="s">
        <v>135</v>
      </c>
      <c r="E31" s="9" t="s">
        <v>41</v>
      </c>
      <c r="F31" s="9" t="s">
        <v>136</v>
      </c>
      <c r="G31" s="7">
        <v>6</v>
      </c>
      <c r="H31" s="9" t="s">
        <v>32</v>
      </c>
      <c r="I31" s="9">
        <f t="shared" si="0"/>
        <v>894</v>
      </c>
      <c r="J31" s="9">
        <f t="shared" si="1"/>
        <v>149</v>
      </c>
      <c r="K31" s="28" t="s">
        <v>32</v>
      </c>
      <c r="L31" s="3" t="s">
        <v>1289</v>
      </c>
      <c r="M31" s="28" t="s">
        <v>32</v>
      </c>
      <c r="N31" s="9" t="s">
        <v>32</v>
      </c>
      <c r="O31" s="9" t="s">
        <v>32</v>
      </c>
      <c r="P31" s="9" t="s">
        <v>32</v>
      </c>
      <c r="Q31" s="9" t="s">
        <v>32</v>
      </c>
      <c r="R31" s="9" t="s">
        <v>32</v>
      </c>
    </row>
    <row r="32" spans="1:18" ht="20.100000000000001" customHeight="1" x14ac:dyDescent="0.25">
      <c r="A32" s="7"/>
      <c r="B32" s="9" t="s">
        <v>137</v>
      </c>
      <c r="C32" s="9"/>
      <c r="D32" s="9" t="s">
        <v>138</v>
      </c>
      <c r="E32" s="9" t="s">
        <v>139</v>
      </c>
      <c r="F32" s="9" t="s">
        <v>140</v>
      </c>
      <c r="G32" s="7">
        <v>6</v>
      </c>
      <c r="H32" s="9" t="s">
        <v>32</v>
      </c>
      <c r="I32" s="9">
        <f t="shared" si="0"/>
        <v>864</v>
      </c>
      <c r="J32" s="9">
        <f t="shared" si="1"/>
        <v>144</v>
      </c>
      <c r="K32" s="28" t="s">
        <v>32</v>
      </c>
      <c r="L32" s="28" t="s">
        <v>32</v>
      </c>
      <c r="M32" s="3" t="s">
        <v>1289</v>
      </c>
      <c r="N32" s="9" t="s">
        <v>32</v>
      </c>
      <c r="O32" s="9" t="s">
        <v>32</v>
      </c>
      <c r="P32" s="9" t="s">
        <v>32</v>
      </c>
      <c r="Q32" s="9" t="s">
        <v>32</v>
      </c>
      <c r="R32" s="9" t="s">
        <v>32</v>
      </c>
    </row>
    <row r="33" spans="1:18" ht="20.100000000000001" customHeight="1" x14ac:dyDescent="0.25">
      <c r="A33" s="8">
        <v>153</v>
      </c>
      <c r="B33" s="10" t="s">
        <v>141</v>
      </c>
      <c r="C33" s="10"/>
      <c r="D33" s="10" t="s">
        <v>142</v>
      </c>
      <c r="E33" s="10" t="s">
        <v>81</v>
      </c>
      <c r="F33" s="10" t="s">
        <v>143</v>
      </c>
      <c r="G33" s="8">
        <v>1</v>
      </c>
      <c r="H33" s="10" t="s">
        <v>144</v>
      </c>
      <c r="I33" s="10">
        <f t="shared" si="0"/>
        <v>159</v>
      </c>
      <c r="J33" s="10">
        <f t="shared" si="1"/>
        <v>159</v>
      </c>
      <c r="K33" s="30" t="s">
        <v>1289</v>
      </c>
      <c r="L33" s="29" t="s">
        <v>32</v>
      </c>
      <c r="M33" s="29" t="s">
        <v>32</v>
      </c>
      <c r="N33" s="10" t="s">
        <v>32</v>
      </c>
      <c r="O33" s="10" t="s">
        <v>32</v>
      </c>
      <c r="P33" s="10" t="s">
        <v>32</v>
      </c>
      <c r="Q33" s="10" t="s">
        <v>32</v>
      </c>
      <c r="R33" s="10" t="s">
        <v>32</v>
      </c>
    </row>
    <row r="34" spans="1:18" ht="20.100000000000001" customHeight="1" x14ac:dyDescent="0.25">
      <c r="A34" s="8"/>
      <c r="B34" s="10" t="s">
        <v>145</v>
      </c>
      <c r="C34" s="10"/>
      <c r="D34" s="10" t="s">
        <v>142</v>
      </c>
      <c r="E34" s="10" t="s">
        <v>146</v>
      </c>
      <c r="F34" s="10" t="s">
        <v>147</v>
      </c>
      <c r="G34" s="8">
        <v>1</v>
      </c>
      <c r="H34" s="10" t="s">
        <v>32</v>
      </c>
      <c r="I34" s="10">
        <f t="shared" si="0"/>
        <v>149</v>
      </c>
      <c r="J34" s="10">
        <f t="shared" si="1"/>
        <v>149</v>
      </c>
      <c r="K34" s="29" t="s">
        <v>32</v>
      </c>
      <c r="L34" s="30" t="s">
        <v>1289</v>
      </c>
      <c r="M34" s="29" t="s">
        <v>32</v>
      </c>
      <c r="N34" s="10" t="s">
        <v>32</v>
      </c>
      <c r="O34" s="10" t="s">
        <v>32</v>
      </c>
      <c r="P34" s="10" t="s">
        <v>32</v>
      </c>
      <c r="Q34" s="10" t="s">
        <v>32</v>
      </c>
      <c r="R34" s="10" t="s">
        <v>32</v>
      </c>
    </row>
    <row r="35" spans="1:18" ht="20.100000000000001" customHeight="1" x14ac:dyDescent="0.25">
      <c r="A35" s="8"/>
      <c r="B35" s="10" t="s">
        <v>148</v>
      </c>
      <c r="C35" s="10"/>
      <c r="D35" s="10" t="s">
        <v>142</v>
      </c>
      <c r="E35" s="10" t="s">
        <v>93</v>
      </c>
      <c r="F35" s="10" t="s">
        <v>149</v>
      </c>
      <c r="G35" s="8">
        <v>1</v>
      </c>
      <c r="H35" s="10" t="s">
        <v>32</v>
      </c>
      <c r="I35" s="10">
        <f t="shared" si="0"/>
        <v>144</v>
      </c>
      <c r="J35" s="10">
        <f t="shared" si="1"/>
        <v>144</v>
      </c>
      <c r="K35" s="29" t="s">
        <v>32</v>
      </c>
      <c r="L35" s="29" t="s">
        <v>32</v>
      </c>
      <c r="M35" s="30" t="s">
        <v>1289</v>
      </c>
      <c r="N35" s="10" t="s">
        <v>32</v>
      </c>
      <c r="O35" s="10" t="s">
        <v>32</v>
      </c>
      <c r="P35" s="10" t="s">
        <v>32</v>
      </c>
      <c r="Q35" s="10" t="s">
        <v>32</v>
      </c>
      <c r="R35" s="10" t="s">
        <v>32</v>
      </c>
    </row>
    <row r="36" spans="1:18" ht="20.100000000000001" customHeight="1" x14ac:dyDescent="0.25">
      <c r="A36" s="7">
        <v>154</v>
      </c>
      <c r="B36" s="9" t="s">
        <v>150</v>
      </c>
      <c r="C36" s="9"/>
      <c r="D36" s="9" t="s">
        <v>151</v>
      </c>
      <c r="E36" s="9" t="s">
        <v>85</v>
      </c>
      <c r="F36" s="9" t="s">
        <v>152</v>
      </c>
      <c r="G36" s="7">
        <v>6</v>
      </c>
      <c r="H36" s="9" t="s">
        <v>153</v>
      </c>
      <c r="I36" s="9">
        <f t="shared" si="0"/>
        <v>954</v>
      </c>
      <c r="J36" s="9">
        <f t="shared" si="1"/>
        <v>159</v>
      </c>
      <c r="K36" s="3" t="s">
        <v>1289</v>
      </c>
      <c r="L36" s="28" t="s">
        <v>32</v>
      </c>
      <c r="M36" s="28" t="s">
        <v>32</v>
      </c>
      <c r="N36" s="9" t="s">
        <v>32</v>
      </c>
      <c r="O36" s="9" t="s">
        <v>32</v>
      </c>
      <c r="P36" s="9" t="s">
        <v>32</v>
      </c>
      <c r="Q36" s="9" t="s">
        <v>32</v>
      </c>
      <c r="R36" s="9" t="s">
        <v>32</v>
      </c>
    </row>
    <row r="37" spans="1:18" ht="20.100000000000001" customHeight="1" x14ac:dyDescent="0.25">
      <c r="A37" s="7"/>
      <c r="B37" s="9" t="s">
        <v>154</v>
      </c>
      <c r="C37" s="9"/>
      <c r="D37" s="9" t="s">
        <v>155</v>
      </c>
      <c r="E37" s="9" t="s">
        <v>41</v>
      </c>
      <c r="F37" s="9" t="s">
        <v>156</v>
      </c>
      <c r="G37" s="7">
        <v>6</v>
      </c>
      <c r="H37" s="9" t="s">
        <v>32</v>
      </c>
      <c r="I37" s="9">
        <f t="shared" si="0"/>
        <v>894</v>
      </c>
      <c r="J37" s="9">
        <f t="shared" si="1"/>
        <v>149</v>
      </c>
      <c r="K37" s="28" t="s">
        <v>32</v>
      </c>
      <c r="L37" s="3" t="s">
        <v>1289</v>
      </c>
      <c r="M37" s="28" t="s">
        <v>32</v>
      </c>
      <c r="N37" s="9" t="s">
        <v>32</v>
      </c>
      <c r="O37" s="9" t="s">
        <v>32</v>
      </c>
      <c r="P37" s="9" t="s">
        <v>32</v>
      </c>
      <c r="Q37" s="9" t="s">
        <v>32</v>
      </c>
      <c r="R37" s="9" t="s">
        <v>32</v>
      </c>
    </row>
    <row r="38" spans="1:18" ht="20.100000000000001" customHeight="1" x14ac:dyDescent="0.25">
      <c r="A38" s="7"/>
      <c r="B38" s="9" t="s">
        <v>157</v>
      </c>
      <c r="C38" s="9"/>
      <c r="D38" s="9" t="s">
        <v>158</v>
      </c>
      <c r="E38" s="9" t="s">
        <v>45</v>
      </c>
      <c r="F38" s="9" t="s">
        <v>159</v>
      </c>
      <c r="G38" s="7">
        <v>6</v>
      </c>
      <c r="H38" s="9" t="s">
        <v>32</v>
      </c>
      <c r="I38" s="9">
        <f t="shared" si="0"/>
        <v>864</v>
      </c>
      <c r="J38" s="9">
        <f t="shared" si="1"/>
        <v>144</v>
      </c>
      <c r="K38" s="28" t="s">
        <v>32</v>
      </c>
      <c r="L38" s="28" t="s">
        <v>32</v>
      </c>
      <c r="M38" s="3" t="s">
        <v>1289</v>
      </c>
      <c r="N38" s="9" t="s">
        <v>32</v>
      </c>
      <c r="O38" s="9" t="s">
        <v>32</v>
      </c>
      <c r="P38" s="9" t="s">
        <v>32</v>
      </c>
      <c r="Q38" s="9" t="s">
        <v>32</v>
      </c>
      <c r="R38" s="9" t="s">
        <v>32</v>
      </c>
    </row>
    <row r="39" spans="1:18" ht="20.100000000000001" customHeight="1" x14ac:dyDescent="0.25">
      <c r="A39" s="8">
        <v>156</v>
      </c>
      <c r="B39" s="10" t="s">
        <v>160</v>
      </c>
      <c r="C39" s="10"/>
      <c r="D39" s="10" t="s">
        <v>161</v>
      </c>
      <c r="E39" s="10" t="s">
        <v>36</v>
      </c>
      <c r="F39" s="10" t="s">
        <v>162</v>
      </c>
      <c r="G39" s="8">
        <v>3</v>
      </c>
      <c r="H39" s="10" t="s">
        <v>163</v>
      </c>
      <c r="I39" s="10">
        <f t="shared" si="0"/>
        <v>477</v>
      </c>
      <c r="J39" s="10">
        <f t="shared" si="1"/>
        <v>159</v>
      </c>
      <c r="K39" s="30" t="s">
        <v>1289</v>
      </c>
      <c r="L39" s="29" t="s">
        <v>32</v>
      </c>
      <c r="M39" s="29" t="s">
        <v>32</v>
      </c>
      <c r="N39" s="10" t="s">
        <v>32</v>
      </c>
      <c r="O39" s="10" t="s">
        <v>32</v>
      </c>
      <c r="P39" s="10" t="s">
        <v>32</v>
      </c>
      <c r="Q39" s="10" t="s">
        <v>32</v>
      </c>
      <c r="R39" s="10" t="s">
        <v>32</v>
      </c>
    </row>
    <row r="40" spans="1:18" ht="20.100000000000001" customHeight="1" x14ac:dyDescent="0.25">
      <c r="A40" s="8"/>
      <c r="B40" s="10" t="s">
        <v>164</v>
      </c>
      <c r="C40" s="10"/>
      <c r="D40" s="10" t="s">
        <v>165</v>
      </c>
      <c r="E40" s="10" t="s">
        <v>166</v>
      </c>
      <c r="F40" s="10" t="s">
        <v>167</v>
      </c>
      <c r="G40" s="8">
        <v>3</v>
      </c>
      <c r="H40" s="10" t="s">
        <v>32</v>
      </c>
      <c r="I40" s="10">
        <f t="shared" si="0"/>
        <v>447</v>
      </c>
      <c r="J40" s="10">
        <f t="shared" si="1"/>
        <v>149</v>
      </c>
      <c r="K40" s="29" t="s">
        <v>32</v>
      </c>
      <c r="L40" s="30" t="s">
        <v>1289</v>
      </c>
      <c r="M40" s="29" t="s">
        <v>32</v>
      </c>
      <c r="N40" s="10" t="s">
        <v>32</v>
      </c>
      <c r="O40" s="10" t="s">
        <v>32</v>
      </c>
      <c r="P40" s="10" t="s">
        <v>32</v>
      </c>
      <c r="Q40" s="10" t="s">
        <v>32</v>
      </c>
      <c r="R40" s="10" t="s">
        <v>32</v>
      </c>
    </row>
    <row r="41" spans="1:18" ht="20.100000000000001" customHeight="1" x14ac:dyDescent="0.25">
      <c r="A41" s="8"/>
      <c r="B41" s="10" t="s">
        <v>168</v>
      </c>
      <c r="C41" s="10"/>
      <c r="D41" s="10" t="s">
        <v>169</v>
      </c>
      <c r="E41" s="10" t="s">
        <v>146</v>
      </c>
      <c r="F41" s="10" t="s">
        <v>170</v>
      </c>
      <c r="G41" s="8">
        <v>3</v>
      </c>
      <c r="H41" s="10" t="s">
        <v>32</v>
      </c>
      <c r="I41" s="10">
        <f t="shared" si="0"/>
        <v>432</v>
      </c>
      <c r="J41" s="10">
        <f t="shared" si="1"/>
        <v>144</v>
      </c>
      <c r="K41" s="29" t="s">
        <v>32</v>
      </c>
      <c r="L41" s="29" t="s">
        <v>32</v>
      </c>
      <c r="M41" s="30" t="s">
        <v>1289</v>
      </c>
      <c r="N41" s="10" t="s">
        <v>32</v>
      </c>
      <c r="O41" s="10" t="s">
        <v>32</v>
      </c>
      <c r="P41" s="10" t="s">
        <v>32</v>
      </c>
      <c r="Q41" s="10" t="s">
        <v>32</v>
      </c>
      <c r="R41" s="10" t="s">
        <v>32</v>
      </c>
    </row>
    <row r="42" spans="1:18" ht="20.100000000000001" customHeight="1" x14ac:dyDescent="0.25">
      <c r="A42" s="7">
        <v>157</v>
      </c>
      <c r="B42" s="9" t="s">
        <v>171</v>
      </c>
      <c r="C42" s="9"/>
      <c r="D42" s="9" t="s">
        <v>172</v>
      </c>
      <c r="E42" s="9" t="s">
        <v>146</v>
      </c>
      <c r="F42" s="9" t="s">
        <v>173</v>
      </c>
      <c r="G42" s="7">
        <v>3</v>
      </c>
      <c r="H42" s="9" t="s">
        <v>174</v>
      </c>
      <c r="I42" s="9">
        <f t="shared" si="0"/>
        <v>477</v>
      </c>
      <c r="J42" s="9">
        <f t="shared" si="1"/>
        <v>159</v>
      </c>
      <c r="K42" s="3" t="s">
        <v>1289</v>
      </c>
      <c r="L42" s="28" t="s">
        <v>32</v>
      </c>
      <c r="M42" s="28" t="s">
        <v>32</v>
      </c>
      <c r="N42" s="9" t="s">
        <v>32</v>
      </c>
      <c r="O42" s="9" t="s">
        <v>32</v>
      </c>
      <c r="P42" s="9" t="s">
        <v>32</v>
      </c>
      <c r="Q42" s="9" t="s">
        <v>32</v>
      </c>
      <c r="R42" s="9" t="s">
        <v>32</v>
      </c>
    </row>
    <row r="43" spans="1:18" ht="20.100000000000001" customHeight="1" x14ac:dyDescent="0.25">
      <c r="A43" s="7"/>
      <c r="B43" s="9" t="s">
        <v>175</v>
      </c>
      <c r="C43" s="9"/>
      <c r="D43" s="9" t="s">
        <v>176</v>
      </c>
      <c r="E43" s="9" t="s">
        <v>93</v>
      </c>
      <c r="F43" s="9" t="s">
        <v>177</v>
      </c>
      <c r="G43" s="7">
        <v>3</v>
      </c>
      <c r="H43" s="9" t="s">
        <v>32</v>
      </c>
      <c r="I43" s="9">
        <f t="shared" si="0"/>
        <v>447</v>
      </c>
      <c r="J43" s="9">
        <f t="shared" si="1"/>
        <v>149</v>
      </c>
      <c r="K43" s="28" t="s">
        <v>32</v>
      </c>
      <c r="L43" s="3" t="s">
        <v>1289</v>
      </c>
      <c r="M43" s="28" t="s">
        <v>32</v>
      </c>
      <c r="N43" s="9" t="s">
        <v>32</v>
      </c>
      <c r="O43" s="9" t="s">
        <v>32</v>
      </c>
      <c r="P43" s="9" t="s">
        <v>32</v>
      </c>
      <c r="Q43" s="9" t="s">
        <v>32</v>
      </c>
      <c r="R43" s="9" t="s">
        <v>32</v>
      </c>
    </row>
    <row r="44" spans="1:18" ht="20.100000000000001" customHeight="1" x14ac:dyDescent="0.25">
      <c r="A44" s="7"/>
      <c r="B44" s="9" t="s">
        <v>178</v>
      </c>
      <c r="C44" s="9"/>
      <c r="D44" s="9" t="s">
        <v>179</v>
      </c>
      <c r="E44" s="9" t="s">
        <v>85</v>
      </c>
      <c r="F44" s="9" t="s">
        <v>180</v>
      </c>
      <c r="G44" s="7">
        <v>3</v>
      </c>
      <c r="H44" s="9" t="s">
        <v>32</v>
      </c>
      <c r="I44" s="9">
        <f t="shared" si="0"/>
        <v>432</v>
      </c>
      <c r="J44" s="9">
        <f t="shared" si="1"/>
        <v>144</v>
      </c>
      <c r="K44" s="28" t="s">
        <v>32</v>
      </c>
      <c r="L44" s="28" t="s">
        <v>32</v>
      </c>
      <c r="M44" s="3" t="s">
        <v>1289</v>
      </c>
      <c r="N44" s="9" t="s">
        <v>32</v>
      </c>
      <c r="O44" s="9" t="s">
        <v>32</v>
      </c>
      <c r="P44" s="9" t="s">
        <v>32</v>
      </c>
      <c r="Q44" s="9" t="s">
        <v>32</v>
      </c>
      <c r="R44" s="9" t="s">
        <v>32</v>
      </c>
    </row>
    <row r="45" spans="1:18" ht="20.100000000000001" customHeight="1" x14ac:dyDescent="0.25">
      <c r="A45" s="8">
        <v>164</v>
      </c>
      <c r="B45" s="10" t="s">
        <v>181</v>
      </c>
      <c r="C45" s="10"/>
      <c r="D45" s="10" t="s">
        <v>182</v>
      </c>
      <c r="E45" s="10" t="s">
        <v>183</v>
      </c>
      <c r="F45" s="10" t="s">
        <v>184</v>
      </c>
      <c r="G45" s="8">
        <v>1</v>
      </c>
      <c r="H45" s="10" t="s">
        <v>185</v>
      </c>
      <c r="I45" s="10">
        <f t="shared" si="0"/>
        <v>159</v>
      </c>
      <c r="J45" s="10">
        <f t="shared" si="1"/>
        <v>159</v>
      </c>
      <c r="K45" s="30" t="s">
        <v>1289</v>
      </c>
      <c r="L45" s="29" t="s">
        <v>32</v>
      </c>
      <c r="M45" s="29" t="s">
        <v>32</v>
      </c>
      <c r="N45" s="10" t="s">
        <v>32</v>
      </c>
      <c r="O45" s="10" t="s">
        <v>32</v>
      </c>
      <c r="P45" s="10" t="s">
        <v>32</v>
      </c>
      <c r="Q45" s="10" t="s">
        <v>32</v>
      </c>
      <c r="R45" s="10" t="s">
        <v>32</v>
      </c>
    </row>
    <row r="46" spans="1:18" ht="20.100000000000001" customHeight="1" x14ac:dyDescent="0.25">
      <c r="A46" s="8"/>
      <c r="B46" s="10" t="s">
        <v>186</v>
      </c>
      <c r="C46" s="10"/>
      <c r="D46" s="10" t="s">
        <v>187</v>
      </c>
      <c r="E46" s="10" t="s">
        <v>41</v>
      </c>
      <c r="F46" s="10" t="s">
        <v>188</v>
      </c>
      <c r="G46" s="8">
        <v>1</v>
      </c>
      <c r="H46" s="10" t="s">
        <v>32</v>
      </c>
      <c r="I46" s="10">
        <f t="shared" si="0"/>
        <v>149</v>
      </c>
      <c r="J46" s="10">
        <f t="shared" si="1"/>
        <v>149</v>
      </c>
      <c r="K46" s="29" t="s">
        <v>32</v>
      </c>
      <c r="L46" s="30" t="s">
        <v>1289</v>
      </c>
      <c r="M46" s="29" t="s">
        <v>32</v>
      </c>
      <c r="N46" s="10" t="s">
        <v>32</v>
      </c>
      <c r="O46" s="10" t="s">
        <v>32</v>
      </c>
      <c r="P46" s="10" t="s">
        <v>32</v>
      </c>
      <c r="Q46" s="10" t="s">
        <v>32</v>
      </c>
      <c r="R46" s="10" t="s">
        <v>32</v>
      </c>
    </row>
    <row r="47" spans="1:18" ht="20.100000000000001" customHeight="1" x14ac:dyDescent="0.25">
      <c r="A47" s="8"/>
      <c r="B47" s="10" t="s">
        <v>189</v>
      </c>
      <c r="C47" s="10"/>
      <c r="D47" s="10" t="s">
        <v>190</v>
      </c>
      <c r="E47" s="10" t="s">
        <v>146</v>
      </c>
      <c r="F47" s="10" t="s">
        <v>191</v>
      </c>
      <c r="G47" s="8">
        <v>1</v>
      </c>
      <c r="H47" s="10" t="s">
        <v>32</v>
      </c>
      <c r="I47" s="10">
        <f t="shared" si="0"/>
        <v>144</v>
      </c>
      <c r="J47" s="10">
        <f t="shared" si="1"/>
        <v>144</v>
      </c>
      <c r="K47" s="29" t="s">
        <v>32</v>
      </c>
      <c r="L47" s="29" t="s">
        <v>32</v>
      </c>
      <c r="M47" s="30" t="s">
        <v>1289</v>
      </c>
      <c r="N47" s="10" t="s">
        <v>32</v>
      </c>
      <c r="O47" s="10" t="s">
        <v>32</v>
      </c>
      <c r="P47" s="10" t="s">
        <v>32</v>
      </c>
      <c r="Q47" s="10" t="s">
        <v>32</v>
      </c>
      <c r="R47" s="10" t="s">
        <v>32</v>
      </c>
    </row>
    <row r="48" spans="1:18" ht="20.100000000000001" customHeight="1" x14ac:dyDescent="0.25">
      <c r="A48" s="7">
        <v>165</v>
      </c>
      <c r="B48" s="9" t="s">
        <v>192</v>
      </c>
      <c r="C48" s="9"/>
      <c r="D48" s="9" t="s">
        <v>193</v>
      </c>
      <c r="E48" s="9" t="s">
        <v>194</v>
      </c>
      <c r="F48" s="9" t="s">
        <v>195</v>
      </c>
      <c r="G48" s="7">
        <v>2</v>
      </c>
      <c r="H48" s="9" t="s">
        <v>196</v>
      </c>
      <c r="I48" s="9">
        <f t="shared" si="0"/>
        <v>904</v>
      </c>
      <c r="J48" s="9">
        <f t="shared" si="1"/>
        <v>452</v>
      </c>
      <c r="K48" s="3" t="s">
        <v>1289</v>
      </c>
      <c r="L48" s="3" t="s">
        <v>1289</v>
      </c>
      <c r="M48" s="3" t="s">
        <v>1289</v>
      </c>
      <c r="N48" s="9" t="s">
        <v>32</v>
      </c>
      <c r="O48" s="9" t="s">
        <v>32</v>
      </c>
      <c r="P48" s="9" t="s">
        <v>32</v>
      </c>
      <c r="Q48" s="9" t="s">
        <v>32</v>
      </c>
      <c r="R48" s="9" t="s">
        <v>32</v>
      </c>
    </row>
    <row r="49" spans="1:18" ht="20.100000000000001" customHeight="1" x14ac:dyDescent="0.25">
      <c r="A49" s="8">
        <v>166</v>
      </c>
      <c r="B49" s="10" t="s">
        <v>197</v>
      </c>
      <c r="C49" s="10"/>
      <c r="D49" s="10" t="s">
        <v>198</v>
      </c>
      <c r="E49" s="10" t="s">
        <v>199</v>
      </c>
      <c r="F49" s="10" t="s">
        <v>200</v>
      </c>
      <c r="G49" s="8">
        <v>1</v>
      </c>
      <c r="H49" s="10" t="s">
        <v>201</v>
      </c>
      <c r="I49" s="10">
        <f t="shared" si="0"/>
        <v>452</v>
      </c>
      <c r="J49" s="10">
        <f t="shared" si="1"/>
        <v>452</v>
      </c>
      <c r="K49" s="30" t="s">
        <v>1289</v>
      </c>
      <c r="L49" s="30" t="s">
        <v>1289</v>
      </c>
      <c r="M49" s="30" t="s">
        <v>1289</v>
      </c>
      <c r="N49" s="10" t="s">
        <v>32</v>
      </c>
      <c r="O49" s="10" t="s">
        <v>32</v>
      </c>
      <c r="P49" s="10" t="s">
        <v>32</v>
      </c>
      <c r="Q49" s="10" t="s">
        <v>32</v>
      </c>
      <c r="R49" s="10" t="s">
        <v>32</v>
      </c>
    </row>
    <row r="50" spans="1:18" ht="20.100000000000001" customHeight="1" x14ac:dyDescent="0.25">
      <c r="A50" s="7">
        <v>168</v>
      </c>
      <c r="B50" s="9" t="s">
        <v>202</v>
      </c>
      <c r="C50" s="9"/>
      <c r="D50" s="9" t="s">
        <v>203</v>
      </c>
      <c r="E50" s="9" t="s">
        <v>199</v>
      </c>
      <c r="F50" s="9" t="s">
        <v>204</v>
      </c>
      <c r="G50" s="7">
        <v>1</v>
      </c>
      <c r="H50" s="9" t="s">
        <v>205</v>
      </c>
      <c r="I50" s="9">
        <f t="shared" si="0"/>
        <v>452</v>
      </c>
      <c r="J50" s="9">
        <f t="shared" si="1"/>
        <v>452</v>
      </c>
      <c r="K50" s="3" t="s">
        <v>1289</v>
      </c>
      <c r="L50" s="3" t="s">
        <v>1289</v>
      </c>
      <c r="M50" s="3" t="s">
        <v>1289</v>
      </c>
      <c r="N50" s="9" t="s">
        <v>32</v>
      </c>
      <c r="O50" s="9" t="s">
        <v>32</v>
      </c>
      <c r="P50" s="9" t="s">
        <v>32</v>
      </c>
      <c r="Q50" s="9" t="s">
        <v>32</v>
      </c>
      <c r="R50" s="9" t="s">
        <v>32</v>
      </c>
    </row>
    <row r="51" spans="1:18" ht="20.100000000000001" customHeight="1" x14ac:dyDescent="0.25">
      <c r="A51" s="8">
        <v>169</v>
      </c>
      <c r="B51" s="10" t="s">
        <v>206</v>
      </c>
      <c r="C51" s="10"/>
      <c r="D51" s="10" t="s">
        <v>207</v>
      </c>
      <c r="E51" s="10" t="s">
        <v>199</v>
      </c>
      <c r="F51" s="10" t="s">
        <v>208</v>
      </c>
      <c r="G51" s="8">
        <v>2</v>
      </c>
      <c r="H51" s="10" t="s">
        <v>209</v>
      </c>
      <c r="I51" s="10">
        <f t="shared" si="0"/>
        <v>904</v>
      </c>
      <c r="J51" s="10">
        <f t="shared" si="1"/>
        <v>452</v>
      </c>
      <c r="K51" s="30" t="s">
        <v>1289</v>
      </c>
      <c r="L51" s="30" t="s">
        <v>1289</v>
      </c>
      <c r="M51" s="30" t="s">
        <v>1289</v>
      </c>
      <c r="N51" s="10" t="s">
        <v>32</v>
      </c>
      <c r="O51" s="10" t="s">
        <v>32</v>
      </c>
      <c r="P51" s="10" t="s">
        <v>32</v>
      </c>
      <c r="Q51" s="10" t="s">
        <v>32</v>
      </c>
      <c r="R51" s="10" t="s">
        <v>32</v>
      </c>
    </row>
    <row r="52" spans="1:18" ht="20.100000000000001" customHeight="1" x14ac:dyDescent="0.25">
      <c r="A52" s="7">
        <v>170</v>
      </c>
      <c r="B52" s="9" t="s">
        <v>210</v>
      </c>
      <c r="C52" s="9"/>
      <c r="D52" s="9" t="s">
        <v>211</v>
      </c>
      <c r="E52" s="9" t="s">
        <v>199</v>
      </c>
      <c r="F52" s="9" t="s">
        <v>212</v>
      </c>
      <c r="G52" s="7">
        <v>1</v>
      </c>
      <c r="H52" s="9" t="s">
        <v>213</v>
      </c>
      <c r="I52" s="9">
        <f t="shared" si="0"/>
        <v>452</v>
      </c>
      <c r="J52" s="9">
        <f t="shared" si="1"/>
        <v>452</v>
      </c>
      <c r="K52" s="3" t="s">
        <v>1289</v>
      </c>
      <c r="L52" s="3" t="s">
        <v>1289</v>
      </c>
      <c r="M52" s="3" t="s">
        <v>1289</v>
      </c>
      <c r="N52" s="9" t="s">
        <v>32</v>
      </c>
      <c r="O52" s="9" t="s">
        <v>32</v>
      </c>
      <c r="P52" s="9" t="s">
        <v>32</v>
      </c>
      <c r="Q52" s="9" t="s">
        <v>32</v>
      </c>
      <c r="R52" s="9" t="s">
        <v>32</v>
      </c>
    </row>
    <row r="53" spans="1:18" ht="20.100000000000001" customHeight="1" x14ac:dyDescent="0.25">
      <c r="A53" s="8">
        <v>181</v>
      </c>
      <c r="B53" s="10" t="s">
        <v>214</v>
      </c>
      <c r="C53" s="10"/>
      <c r="D53" s="10" t="s">
        <v>215</v>
      </c>
      <c r="E53" s="10" t="s">
        <v>85</v>
      </c>
      <c r="F53" s="10" t="s">
        <v>216</v>
      </c>
      <c r="G53" s="8">
        <v>7</v>
      </c>
      <c r="H53" s="10" t="s">
        <v>217</v>
      </c>
      <c r="I53" s="10">
        <f t="shared" si="0"/>
        <v>1113</v>
      </c>
      <c r="J53" s="10">
        <f t="shared" si="1"/>
        <v>159</v>
      </c>
      <c r="K53" s="30" t="s">
        <v>1289</v>
      </c>
      <c r="L53" s="29" t="s">
        <v>32</v>
      </c>
      <c r="M53" s="29" t="s">
        <v>32</v>
      </c>
      <c r="N53" s="10" t="s">
        <v>32</v>
      </c>
      <c r="O53" s="10" t="s">
        <v>32</v>
      </c>
      <c r="P53" s="10" t="s">
        <v>32</v>
      </c>
      <c r="Q53" s="10" t="s">
        <v>32</v>
      </c>
      <c r="R53" s="10" t="s">
        <v>32</v>
      </c>
    </row>
    <row r="54" spans="1:18" ht="20.100000000000001" customHeight="1" x14ac:dyDescent="0.25">
      <c r="A54" s="8"/>
      <c r="B54" s="10" t="s">
        <v>218</v>
      </c>
      <c r="C54" s="10"/>
      <c r="D54" s="10" t="s">
        <v>219</v>
      </c>
      <c r="E54" s="10" t="s">
        <v>146</v>
      </c>
      <c r="F54" s="10" t="s">
        <v>220</v>
      </c>
      <c r="G54" s="8">
        <v>7</v>
      </c>
      <c r="H54" s="10" t="s">
        <v>32</v>
      </c>
      <c r="I54" s="10">
        <f t="shared" si="0"/>
        <v>1043</v>
      </c>
      <c r="J54" s="10">
        <f t="shared" si="1"/>
        <v>149</v>
      </c>
      <c r="K54" s="29" t="s">
        <v>32</v>
      </c>
      <c r="L54" s="30" t="s">
        <v>1289</v>
      </c>
      <c r="M54" s="29" t="s">
        <v>32</v>
      </c>
      <c r="N54" s="10" t="s">
        <v>32</v>
      </c>
      <c r="O54" s="10" t="s">
        <v>32</v>
      </c>
      <c r="P54" s="10" t="s">
        <v>32</v>
      </c>
      <c r="Q54" s="10" t="s">
        <v>32</v>
      </c>
      <c r="R54" s="10" t="s">
        <v>32</v>
      </c>
    </row>
    <row r="55" spans="1:18" ht="20.100000000000001" customHeight="1" x14ac:dyDescent="0.25">
      <c r="A55" s="8"/>
      <c r="B55" s="10" t="s">
        <v>221</v>
      </c>
      <c r="C55" s="10"/>
      <c r="D55" s="10" t="s">
        <v>222</v>
      </c>
      <c r="E55" s="10" t="s">
        <v>93</v>
      </c>
      <c r="F55" s="10" t="s">
        <v>223</v>
      </c>
      <c r="G55" s="8">
        <v>7</v>
      </c>
      <c r="H55" s="10" t="s">
        <v>32</v>
      </c>
      <c r="I55" s="10">
        <f t="shared" si="0"/>
        <v>1008</v>
      </c>
      <c r="J55" s="10">
        <f t="shared" si="1"/>
        <v>144</v>
      </c>
      <c r="K55" s="29" t="s">
        <v>32</v>
      </c>
      <c r="L55" s="29" t="s">
        <v>32</v>
      </c>
      <c r="M55" s="30" t="s">
        <v>1289</v>
      </c>
      <c r="N55" s="10" t="s">
        <v>32</v>
      </c>
      <c r="O55" s="10" t="s">
        <v>32</v>
      </c>
      <c r="P55" s="10" t="s">
        <v>32</v>
      </c>
      <c r="Q55" s="10" t="s">
        <v>32</v>
      </c>
      <c r="R55" s="10" t="s">
        <v>32</v>
      </c>
    </row>
    <row r="56" spans="1:18" ht="20.100000000000001" customHeight="1" x14ac:dyDescent="0.25">
      <c r="A56" s="7">
        <v>198</v>
      </c>
      <c r="B56" s="9" t="s">
        <v>224</v>
      </c>
      <c r="C56" s="9"/>
      <c r="D56" s="9" t="s">
        <v>225</v>
      </c>
      <c r="E56" s="9" t="s">
        <v>81</v>
      </c>
      <c r="F56" s="9" t="s">
        <v>226</v>
      </c>
      <c r="G56" s="7">
        <v>3</v>
      </c>
      <c r="H56" s="9" t="s">
        <v>227</v>
      </c>
      <c r="I56" s="9">
        <f t="shared" si="0"/>
        <v>477</v>
      </c>
      <c r="J56" s="9">
        <f t="shared" si="1"/>
        <v>159</v>
      </c>
      <c r="K56" s="3" t="s">
        <v>1289</v>
      </c>
      <c r="L56" s="28" t="s">
        <v>32</v>
      </c>
      <c r="M56" s="28" t="s">
        <v>32</v>
      </c>
      <c r="N56" s="9" t="s">
        <v>32</v>
      </c>
      <c r="O56" s="9" t="s">
        <v>32</v>
      </c>
      <c r="P56" s="9" t="s">
        <v>32</v>
      </c>
      <c r="Q56" s="9" t="s">
        <v>32</v>
      </c>
      <c r="R56" s="9" t="s">
        <v>32</v>
      </c>
    </row>
    <row r="57" spans="1:18" ht="20.100000000000001" customHeight="1" x14ac:dyDescent="0.25">
      <c r="A57" s="7"/>
      <c r="B57" s="9" t="s">
        <v>228</v>
      </c>
      <c r="C57" s="9"/>
      <c r="D57" s="9" t="s">
        <v>229</v>
      </c>
      <c r="E57" s="9" t="s">
        <v>230</v>
      </c>
      <c r="F57" s="9" t="s">
        <v>231</v>
      </c>
      <c r="G57" s="7">
        <v>3</v>
      </c>
      <c r="H57" s="9" t="s">
        <v>32</v>
      </c>
      <c r="I57" s="9">
        <f t="shared" si="0"/>
        <v>447</v>
      </c>
      <c r="J57" s="9">
        <f t="shared" si="1"/>
        <v>149</v>
      </c>
      <c r="K57" s="28" t="s">
        <v>32</v>
      </c>
      <c r="L57" s="3" t="s">
        <v>1289</v>
      </c>
      <c r="M57" s="28" t="s">
        <v>32</v>
      </c>
      <c r="N57" s="9" t="s">
        <v>32</v>
      </c>
      <c r="O57" s="9" t="s">
        <v>32</v>
      </c>
      <c r="P57" s="9" t="s">
        <v>32</v>
      </c>
      <c r="Q57" s="9" t="s">
        <v>32</v>
      </c>
      <c r="R57" s="9" t="s">
        <v>32</v>
      </c>
    </row>
    <row r="58" spans="1:18" ht="20.100000000000001" customHeight="1" x14ac:dyDescent="0.25">
      <c r="A58" s="7"/>
      <c r="B58" s="9" t="s">
        <v>232</v>
      </c>
      <c r="C58" s="9"/>
      <c r="D58" s="9" t="s">
        <v>233</v>
      </c>
      <c r="E58" s="9" t="s">
        <v>234</v>
      </c>
      <c r="F58" s="9" t="s">
        <v>235</v>
      </c>
      <c r="G58" s="7">
        <v>3</v>
      </c>
      <c r="H58" s="9" t="s">
        <v>32</v>
      </c>
      <c r="I58" s="9">
        <f t="shared" si="0"/>
        <v>432</v>
      </c>
      <c r="J58" s="9">
        <f t="shared" si="1"/>
        <v>144</v>
      </c>
      <c r="K58" s="28" t="s">
        <v>32</v>
      </c>
      <c r="L58" s="28" t="s">
        <v>32</v>
      </c>
      <c r="M58" s="3" t="s">
        <v>1289</v>
      </c>
      <c r="N58" s="9" t="s">
        <v>32</v>
      </c>
      <c r="O58" s="9" t="s">
        <v>32</v>
      </c>
      <c r="P58" s="9" t="s">
        <v>32</v>
      </c>
      <c r="Q58" s="9" t="s">
        <v>32</v>
      </c>
      <c r="R58" s="9" t="s">
        <v>32</v>
      </c>
    </row>
    <row r="59" spans="1:18" ht="20.100000000000001" customHeight="1" x14ac:dyDescent="0.25">
      <c r="A59" s="8">
        <v>200</v>
      </c>
      <c r="B59" s="10" t="s">
        <v>236</v>
      </c>
      <c r="C59" s="10"/>
      <c r="D59" s="10" t="s">
        <v>237</v>
      </c>
      <c r="E59" s="10" t="s">
        <v>97</v>
      </c>
      <c r="F59" s="10" t="s">
        <v>238</v>
      </c>
      <c r="G59" s="8">
        <v>1</v>
      </c>
      <c r="H59" s="10" t="s">
        <v>239</v>
      </c>
      <c r="I59" s="10">
        <f t="shared" si="0"/>
        <v>159</v>
      </c>
      <c r="J59" s="10">
        <f t="shared" si="1"/>
        <v>159</v>
      </c>
      <c r="K59" s="30" t="s">
        <v>1289</v>
      </c>
      <c r="L59" s="29" t="s">
        <v>32</v>
      </c>
      <c r="M59" s="29" t="s">
        <v>32</v>
      </c>
      <c r="N59" s="10" t="s">
        <v>32</v>
      </c>
      <c r="O59" s="10" t="s">
        <v>32</v>
      </c>
      <c r="P59" s="10" t="s">
        <v>32</v>
      </c>
      <c r="Q59" s="10" t="s">
        <v>32</v>
      </c>
      <c r="R59" s="10" t="s">
        <v>32</v>
      </c>
    </row>
    <row r="60" spans="1:18" ht="20.100000000000001" customHeight="1" x14ac:dyDescent="0.25">
      <c r="A60" s="8"/>
      <c r="B60" s="10" t="s">
        <v>240</v>
      </c>
      <c r="C60" s="10"/>
      <c r="D60" s="10" t="s">
        <v>241</v>
      </c>
      <c r="E60" s="10" t="s">
        <v>102</v>
      </c>
      <c r="F60" s="10" t="s">
        <v>242</v>
      </c>
      <c r="G60" s="8">
        <v>1</v>
      </c>
      <c r="H60" s="10" t="s">
        <v>32</v>
      </c>
      <c r="I60" s="10">
        <f t="shared" si="0"/>
        <v>149</v>
      </c>
      <c r="J60" s="10">
        <f t="shared" si="1"/>
        <v>149</v>
      </c>
      <c r="K60" s="29" t="s">
        <v>32</v>
      </c>
      <c r="L60" s="30" t="s">
        <v>1289</v>
      </c>
      <c r="M60" s="29" t="s">
        <v>32</v>
      </c>
      <c r="N60" s="10" t="s">
        <v>32</v>
      </c>
      <c r="O60" s="10" t="s">
        <v>32</v>
      </c>
      <c r="P60" s="10" t="s">
        <v>32</v>
      </c>
      <c r="Q60" s="10" t="s">
        <v>32</v>
      </c>
      <c r="R60" s="10" t="s">
        <v>32</v>
      </c>
    </row>
    <row r="61" spans="1:18" ht="20.100000000000001" customHeight="1" x14ac:dyDescent="0.25">
      <c r="A61" s="8"/>
      <c r="B61" s="10" t="s">
        <v>243</v>
      </c>
      <c r="C61" s="10"/>
      <c r="D61" s="10" t="s">
        <v>244</v>
      </c>
      <c r="E61" s="10" t="s">
        <v>106</v>
      </c>
      <c r="F61" s="10" t="s">
        <v>245</v>
      </c>
      <c r="G61" s="8">
        <v>1</v>
      </c>
      <c r="H61" s="10" t="s">
        <v>32</v>
      </c>
      <c r="I61" s="10">
        <f t="shared" si="0"/>
        <v>144</v>
      </c>
      <c r="J61" s="10">
        <f t="shared" si="1"/>
        <v>144</v>
      </c>
      <c r="K61" s="29" t="s">
        <v>32</v>
      </c>
      <c r="L61" s="29" t="s">
        <v>32</v>
      </c>
      <c r="M61" s="30" t="s">
        <v>1289</v>
      </c>
      <c r="N61" s="10" t="s">
        <v>32</v>
      </c>
      <c r="O61" s="10" t="s">
        <v>32</v>
      </c>
      <c r="P61" s="10" t="s">
        <v>32</v>
      </c>
      <c r="Q61" s="10" t="s">
        <v>32</v>
      </c>
      <c r="R61" s="10" t="s">
        <v>32</v>
      </c>
    </row>
    <row r="62" spans="1:18" ht="20.100000000000001" customHeight="1" x14ac:dyDescent="0.25">
      <c r="A62" s="7">
        <v>201</v>
      </c>
      <c r="B62" s="9" t="s">
        <v>246</v>
      </c>
      <c r="C62" s="9"/>
      <c r="D62" s="9" t="s">
        <v>247</v>
      </c>
      <c r="E62" s="9" t="s">
        <v>97</v>
      </c>
      <c r="F62" s="9" t="s">
        <v>248</v>
      </c>
      <c r="G62" s="7">
        <v>1</v>
      </c>
      <c r="H62" s="9" t="s">
        <v>249</v>
      </c>
      <c r="I62" s="9">
        <f t="shared" si="0"/>
        <v>159</v>
      </c>
      <c r="J62" s="9">
        <f t="shared" si="1"/>
        <v>159</v>
      </c>
      <c r="K62" s="3" t="s">
        <v>1289</v>
      </c>
      <c r="L62" s="28" t="s">
        <v>32</v>
      </c>
      <c r="M62" s="28" t="s">
        <v>32</v>
      </c>
      <c r="N62" s="9" t="s">
        <v>32</v>
      </c>
      <c r="O62" s="9" t="s">
        <v>32</v>
      </c>
      <c r="P62" s="9" t="s">
        <v>32</v>
      </c>
      <c r="Q62" s="9" t="s">
        <v>32</v>
      </c>
      <c r="R62" s="9" t="s">
        <v>32</v>
      </c>
    </row>
    <row r="63" spans="1:18" ht="20.100000000000001" customHeight="1" x14ac:dyDescent="0.25">
      <c r="A63" s="7"/>
      <c r="B63" s="9" t="s">
        <v>250</v>
      </c>
      <c r="C63" s="9"/>
      <c r="D63" s="9" t="s">
        <v>251</v>
      </c>
      <c r="E63" s="9" t="s">
        <v>102</v>
      </c>
      <c r="F63" s="9" t="s">
        <v>252</v>
      </c>
      <c r="G63" s="7">
        <v>1</v>
      </c>
      <c r="H63" s="9" t="s">
        <v>32</v>
      </c>
      <c r="I63" s="9">
        <f t="shared" si="0"/>
        <v>149</v>
      </c>
      <c r="J63" s="9">
        <f t="shared" si="1"/>
        <v>149</v>
      </c>
      <c r="K63" s="28" t="s">
        <v>32</v>
      </c>
      <c r="L63" s="3" t="s">
        <v>1289</v>
      </c>
      <c r="M63" s="28" t="s">
        <v>32</v>
      </c>
      <c r="N63" s="9" t="s">
        <v>32</v>
      </c>
      <c r="O63" s="9" t="s">
        <v>32</v>
      </c>
      <c r="P63" s="9" t="s">
        <v>32</v>
      </c>
      <c r="Q63" s="9" t="s">
        <v>32</v>
      </c>
      <c r="R63" s="9" t="s">
        <v>32</v>
      </c>
    </row>
    <row r="64" spans="1:18" ht="20.100000000000001" customHeight="1" x14ac:dyDescent="0.25">
      <c r="A64" s="7"/>
      <c r="B64" s="9" t="s">
        <v>253</v>
      </c>
      <c r="C64" s="9"/>
      <c r="D64" s="9" t="s">
        <v>254</v>
      </c>
      <c r="E64" s="9" t="s">
        <v>106</v>
      </c>
      <c r="F64" s="9" t="s">
        <v>255</v>
      </c>
      <c r="G64" s="7">
        <v>1</v>
      </c>
      <c r="H64" s="9" t="s">
        <v>32</v>
      </c>
      <c r="I64" s="9">
        <f t="shared" si="0"/>
        <v>144</v>
      </c>
      <c r="J64" s="9">
        <f t="shared" si="1"/>
        <v>144</v>
      </c>
      <c r="K64" s="28" t="s">
        <v>32</v>
      </c>
      <c r="L64" s="28" t="s">
        <v>32</v>
      </c>
      <c r="M64" s="3" t="s">
        <v>1289</v>
      </c>
      <c r="N64" s="9" t="s">
        <v>32</v>
      </c>
      <c r="O64" s="9" t="s">
        <v>32</v>
      </c>
      <c r="P64" s="9" t="s">
        <v>32</v>
      </c>
      <c r="Q64" s="9" t="s">
        <v>32</v>
      </c>
      <c r="R64" s="9" t="s">
        <v>32</v>
      </c>
    </row>
    <row r="65" spans="1:18" ht="20.100000000000001" customHeight="1" x14ac:dyDescent="0.25">
      <c r="A65" s="8">
        <v>224</v>
      </c>
      <c r="B65" s="10" t="s">
        <v>256</v>
      </c>
      <c r="C65" s="10"/>
      <c r="D65" s="10" t="s">
        <v>257</v>
      </c>
      <c r="E65" s="10" t="s">
        <v>49</v>
      </c>
      <c r="F65" s="10" t="s">
        <v>258</v>
      </c>
      <c r="G65" s="8">
        <v>1</v>
      </c>
      <c r="H65" s="10" t="s">
        <v>259</v>
      </c>
      <c r="I65" s="10">
        <f t="shared" si="0"/>
        <v>159</v>
      </c>
      <c r="J65" s="10">
        <f t="shared" si="1"/>
        <v>159</v>
      </c>
      <c r="K65" s="30" t="s">
        <v>1289</v>
      </c>
      <c r="L65" s="29" t="s">
        <v>32</v>
      </c>
      <c r="M65" s="29" t="s">
        <v>32</v>
      </c>
      <c r="N65" s="10" t="s">
        <v>32</v>
      </c>
      <c r="O65" s="10" t="s">
        <v>32</v>
      </c>
      <c r="P65" s="10" t="s">
        <v>32</v>
      </c>
      <c r="Q65" s="10" t="s">
        <v>32</v>
      </c>
      <c r="R65" s="10" t="s">
        <v>32</v>
      </c>
    </row>
    <row r="66" spans="1:18" ht="20.100000000000001" customHeight="1" x14ac:dyDescent="0.25">
      <c r="A66" s="8"/>
      <c r="B66" s="10" t="s">
        <v>260</v>
      </c>
      <c r="C66" s="10"/>
      <c r="D66" s="10" t="s">
        <v>261</v>
      </c>
      <c r="E66" s="10" t="s">
        <v>262</v>
      </c>
      <c r="F66" s="10" t="s">
        <v>263</v>
      </c>
      <c r="G66" s="8">
        <v>1</v>
      </c>
      <c r="H66" s="10" t="s">
        <v>32</v>
      </c>
      <c r="I66" s="10">
        <f t="shared" si="0"/>
        <v>149</v>
      </c>
      <c r="J66" s="10">
        <f t="shared" si="1"/>
        <v>149</v>
      </c>
      <c r="K66" s="29" t="s">
        <v>32</v>
      </c>
      <c r="L66" s="30" t="s">
        <v>1289</v>
      </c>
      <c r="M66" s="29" t="s">
        <v>32</v>
      </c>
      <c r="N66" s="10" t="s">
        <v>32</v>
      </c>
      <c r="O66" s="10" t="s">
        <v>32</v>
      </c>
      <c r="P66" s="10" t="s">
        <v>32</v>
      </c>
      <c r="Q66" s="10" t="s">
        <v>32</v>
      </c>
      <c r="R66" s="10" t="s">
        <v>32</v>
      </c>
    </row>
    <row r="67" spans="1:18" ht="20.100000000000001" customHeight="1" x14ac:dyDescent="0.25">
      <c r="A67" s="8"/>
      <c r="B67" s="10" t="s">
        <v>264</v>
      </c>
      <c r="C67" s="10"/>
      <c r="D67" s="10" t="s">
        <v>265</v>
      </c>
      <c r="E67" s="10" t="s">
        <v>266</v>
      </c>
      <c r="F67" s="10" t="s">
        <v>267</v>
      </c>
      <c r="G67" s="8">
        <v>1</v>
      </c>
      <c r="H67" s="10" t="s">
        <v>32</v>
      </c>
      <c r="I67" s="10">
        <f t="shared" si="0"/>
        <v>144</v>
      </c>
      <c r="J67" s="10">
        <f t="shared" si="1"/>
        <v>144</v>
      </c>
      <c r="K67" s="29" t="s">
        <v>32</v>
      </c>
      <c r="L67" s="29" t="s">
        <v>32</v>
      </c>
      <c r="M67" s="30" t="s">
        <v>1289</v>
      </c>
      <c r="N67" s="10" t="s">
        <v>32</v>
      </c>
      <c r="O67" s="10" t="s">
        <v>32</v>
      </c>
      <c r="P67" s="10" t="s">
        <v>32</v>
      </c>
      <c r="Q67" s="10" t="s">
        <v>32</v>
      </c>
      <c r="R67" s="10" t="s">
        <v>32</v>
      </c>
    </row>
    <row r="68" spans="1:18" ht="20.100000000000001" customHeight="1" x14ac:dyDescent="0.25">
      <c r="A68" s="7">
        <v>229</v>
      </c>
      <c r="B68" s="9" t="s">
        <v>268</v>
      </c>
      <c r="C68" s="9"/>
      <c r="D68" s="9" t="s">
        <v>269</v>
      </c>
      <c r="E68" s="9" t="s">
        <v>85</v>
      </c>
      <c r="F68" s="9" t="s">
        <v>270</v>
      </c>
      <c r="G68" s="7">
        <v>24</v>
      </c>
      <c r="H68" s="25" t="s">
        <v>1290</v>
      </c>
      <c r="I68" s="9">
        <f t="shared" si="0"/>
        <v>3816</v>
      </c>
      <c r="J68" s="9">
        <f t="shared" si="1"/>
        <v>159</v>
      </c>
      <c r="K68" s="3" t="s">
        <v>1289</v>
      </c>
      <c r="L68" s="28" t="s">
        <v>32</v>
      </c>
      <c r="M68" s="28" t="s">
        <v>32</v>
      </c>
      <c r="N68" s="9" t="s">
        <v>32</v>
      </c>
      <c r="O68" s="9" t="s">
        <v>32</v>
      </c>
      <c r="P68" s="9" t="s">
        <v>32</v>
      </c>
      <c r="Q68" s="9" t="s">
        <v>32</v>
      </c>
      <c r="R68" s="9" t="s">
        <v>32</v>
      </c>
    </row>
    <row r="69" spans="1:18" ht="20.100000000000001" customHeight="1" x14ac:dyDescent="0.25">
      <c r="A69" s="7"/>
      <c r="B69" s="9" t="s">
        <v>271</v>
      </c>
      <c r="C69" s="9"/>
      <c r="D69" s="9" t="s">
        <v>272</v>
      </c>
      <c r="E69" s="9" t="s">
        <v>93</v>
      </c>
      <c r="F69" s="9" t="s">
        <v>273</v>
      </c>
      <c r="G69" s="7">
        <v>24</v>
      </c>
      <c r="H69" s="9" t="s">
        <v>32</v>
      </c>
      <c r="I69" s="9">
        <f t="shared" si="0"/>
        <v>3576</v>
      </c>
      <c r="J69" s="9">
        <f t="shared" si="1"/>
        <v>149</v>
      </c>
      <c r="K69" s="28" t="s">
        <v>32</v>
      </c>
      <c r="L69" s="3" t="s">
        <v>1288</v>
      </c>
      <c r="M69" s="28" t="s">
        <v>32</v>
      </c>
      <c r="N69" s="9" t="s">
        <v>32</v>
      </c>
      <c r="O69" s="9" t="s">
        <v>32</v>
      </c>
      <c r="P69" s="9" t="s">
        <v>32</v>
      </c>
      <c r="Q69" s="9" t="s">
        <v>32</v>
      </c>
      <c r="R69" s="9" t="s">
        <v>32</v>
      </c>
    </row>
    <row r="70" spans="1:18" ht="20.100000000000001" customHeight="1" x14ac:dyDescent="0.25">
      <c r="A70" s="7"/>
      <c r="B70" s="9" t="s">
        <v>274</v>
      </c>
      <c r="C70" s="9"/>
      <c r="D70" s="9" t="s">
        <v>275</v>
      </c>
      <c r="E70" s="9" t="s">
        <v>78</v>
      </c>
      <c r="F70" s="9" t="s">
        <v>276</v>
      </c>
      <c r="G70" s="7">
        <v>24</v>
      </c>
      <c r="H70" s="9" t="s">
        <v>32</v>
      </c>
      <c r="I70" s="9">
        <f t="shared" ref="I70:I133" si="2">G70*J70</f>
        <v>3456</v>
      </c>
      <c r="J70" s="9">
        <f t="shared" ref="J70:J133" si="3">IF(EXACT(K70,"V"),$K$5,0)+IF(EXACT(L70,"V"),$L$5,0)+IF(EXACT(M70,"V"),$M$5,0)+IF(EXACT(N70,"V"),$N$5,0)+IF(EXACT(O70,"V"),$O$5,0)+IF(EXACT(P70,"V"),$P$5,0)+IF(EXACT(Q70,"V"),$Q$5,0)</f>
        <v>144</v>
      </c>
      <c r="K70" s="28" t="s">
        <v>32</v>
      </c>
      <c r="L70" s="28" t="s">
        <v>32</v>
      </c>
      <c r="M70" s="3" t="s">
        <v>1288</v>
      </c>
      <c r="N70" s="9" t="s">
        <v>32</v>
      </c>
      <c r="O70" s="9" t="s">
        <v>32</v>
      </c>
      <c r="P70" s="9" t="s">
        <v>32</v>
      </c>
      <c r="Q70" s="9" t="s">
        <v>32</v>
      </c>
      <c r="R70" s="9" t="s">
        <v>32</v>
      </c>
    </row>
    <row r="71" spans="1:18" ht="20.100000000000001" customHeight="1" x14ac:dyDescent="0.25">
      <c r="A71" s="8">
        <v>231</v>
      </c>
      <c r="B71" s="10" t="s">
        <v>277</v>
      </c>
      <c r="C71" s="10"/>
      <c r="D71" s="10" t="s">
        <v>278</v>
      </c>
      <c r="E71" s="10" t="s">
        <v>85</v>
      </c>
      <c r="F71" s="10" t="s">
        <v>279</v>
      </c>
      <c r="G71" s="8">
        <v>1</v>
      </c>
      <c r="H71" s="10" t="s">
        <v>280</v>
      </c>
      <c r="I71" s="10">
        <f t="shared" si="2"/>
        <v>159</v>
      </c>
      <c r="J71" s="10">
        <f t="shared" si="3"/>
        <v>159</v>
      </c>
      <c r="K71" s="30" t="s">
        <v>1289</v>
      </c>
      <c r="L71" s="29" t="s">
        <v>32</v>
      </c>
      <c r="M71" s="29" t="s">
        <v>32</v>
      </c>
      <c r="N71" s="10" t="s">
        <v>32</v>
      </c>
      <c r="O71" s="10" t="s">
        <v>32</v>
      </c>
      <c r="P71" s="10" t="s">
        <v>32</v>
      </c>
      <c r="Q71" s="10" t="s">
        <v>32</v>
      </c>
      <c r="R71" s="10" t="s">
        <v>32</v>
      </c>
    </row>
    <row r="72" spans="1:18" ht="20.100000000000001" customHeight="1" x14ac:dyDescent="0.25">
      <c r="A72" s="8"/>
      <c r="B72" s="10" t="s">
        <v>281</v>
      </c>
      <c r="C72" s="10"/>
      <c r="D72" s="10" t="s">
        <v>282</v>
      </c>
      <c r="E72" s="10" t="s">
        <v>146</v>
      </c>
      <c r="F72" s="10" t="s">
        <v>283</v>
      </c>
      <c r="G72" s="8">
        <v>1</v>
      </c>
      <c r="H72" s="10" t="s">
        <v>32</v>
      </c>
      <c r="I72" s="10">
        <f t="shared" si="2"/>
        <v>149</v>
      </c>
      <c r="J72" s="10">
        <f t="shared" si="3"/>
        <v>149</v>
      </c>
      <c r="K72" s="29" t="s">
        <v>32</v>
      </c>
      <c r="L72" s="30" t="s">
        <v>1289</v>
      </c>
      <c r="M72" s="29" t="s">
        <v>32</v>
      </c>
      <c r="N72" s="10" t="s">
        <v>32</v>
      </c>
      <c r="O72" s="10" t="s">
        <v>32</v>
      </c>
      <c r="P72" s="10" t="s">
        <v>32</v>
      </c>
      <c r="Q72" s="10" t="s">
        <v>32</v>
      </c>
      <c r="R72" s="10" t="s">
        <v>32</v>
      </c>
    </row>
    <row r="73" spans="1:18" ht="20.100000000000001" customHeight="1" x14ac:dyDescent="0.25">
      <c r="A73" s="8"/>
      <c r="B73" s="10" t="s">
        <v>284</v>
      </c>
      <c r="C73" s="10"/>
      <c r="D73" s="10" t="s">
        <v>285</v>
      </c>
      <c r="E73" s="10" t="s">
        <v>93</v>
      </c>
      <c r="F73" s="10" t="s">
        <v>286</v>
      </c>
      <c r="G73" s="8">
        <v>1</v>
      </c>
      <c r="H73" s="10" t="s">
        <v>32</v>
      </c>
      <c r="I73" s="10">
        <f t="shared" si="2"/>
        <v>144</v>
      </c>
      <c r="J73" s="10">
        <f t="shared" si="3"/>
        <v>144</v>
      </c>
      <c r="K73" s="29" t="s">
        <v>32</v>
      </c>
      <c r="L73" s="29" t="s">
        <v>32</v>
      </c>
      <c r="M73" s="30" t="s">
        <v>1289</v>
      </c>
      <c r="N73" s="10" t="s">
        <v>32</v>
      </c>
      <c r="O73" s="10" t="s">
        <v>32</v>
      </c>
      <c r="P73" s="10" t="s">
        <v>32</v>
      </c>
      <c r="Q73" s="10" t="s">
        <v>32</v>
      </c>
      <c r="R73" s="10" t="s">
        <v>32</v>
      </c>
    </row>
    <row r="74" spans="1:18" ht="20.100000000000001" customHeight="1" x14ac:dyDescent="0.25">
      <c r="A74" s="7">
        <v>232</v>
      </c>
      <c r="B74" s="9" t="s">
        <v>287</v>
      </c>
      <c r="C74" s="9"/>
      <c r="D74" s="9" t="s">
        <v>288</v>
      </c>
      <c r="E74" s="9" t="s">
        <v>85</v>
      </c>
      <c r="F74" s="9" t="s">
        <v>289</v>
      </c>
      <c r="G74" s="7">
        <v>1</v>
      </c>
      <c r="H74" s="9" t="s">
        <v>290</v>
      </c>
      <c r="I74" s="9">
        <f t="shared" si="2"/>
        <v>452</v>
      </c>
      <c r="J74" s="9">
        <f t="shared" si="3"/>
        <v>452</v>
      </c>
      <c r="K74" s="3" t="s">
        <v>1289</v>
      </c>
      <c r="L74" s="3" t="s">
        <v>1289</v>
      </c>
      <c r="M74" s="3" t="s">
        <v>1289</v>
      </c>
      <c r="N74" s="9" t="s">
        <v>32</v>
      </c>
      <c r="O74" s="9" t="s">
        <v>32</v>
      </c>
      <c r="P74" s="9" t="s">
        <v>32</v>
      </c>
      <c r="Q74" s="9" t="s">
        <v>32</v>
      </c>
      <c r="R74" s="9" t="s">
        <v>32</v>
      </c>
    </row>
    <row r="75" spans="1:18" ht="20.100000000000001" customHeight="1" x14ac:dyDescent="0.25">
      <c r="A75" s="8">
        <v>344</v>
      </c>
      <c r="B75" s="10" t="s">
        <v>291</v>
      </c>
      <c r="C75" s="10"/>
      <c r="D75" s="10" t="s">
        <v>292</v>
      </c>
      <c r="E75" s="10" t="s">
        <v>81</v>
      </c>
      <c r="F75" s="10" t="s">
        <v>293</v>
      </c>
      <c r="G75" s="8">
        <v>1</v>
      </c>
      <c r="H75" s="10" t="s">
        <v>294</v>
      </c>
      <c r="I75" s="10">
        <f t="shared" si="2"/>
        <v>159</v>
      </c>
      <c r="J75" s="10">
        <f t="shared" si="3"/>
        <v>159</v>
      </c>
      <c r="K75" s="30" t="s">
        <v>1289</v>
      </c>
      <c r="L75" s="29" t="s">
        <v>32</v>
      </c>
      <c r="M75" s="29" t="s">
        <v>32</v>
      </c>
      <c r="N75" s="10" t="s">
        <v>32</v>
      </c>
      <c r="O75" s="10" t="s">
        <v>32</v>
      </c>
      <c r="P75" s="10" t="s">
        <v>32</v>
      </c>
      <c r="Q75" s="10" t="s">
        <v>32</v>
      </c>
      <c r="R75" s="10" t="s">
        <v>32</v>
      </c>
    </row>
    <row r="76" spans="1:18" ht="20.100000000000001" customHeight="1" x14ac:dyDescent="0.25">
      <c r="A76" s="8"/>
      <c r="B76" s="10" t="s">
        <v>295</v>
      </c>
      <c r="C76" s="10"/>
      <c r="D76" s="10" t="s">
        <v>296</v>
      </c>
      <c r="E76" s="10" t="s">
        <v>85</v>
      </c>
      <c r="F76" s="10" t="s">
        <v>297</v>
      </c>
      <c r="G76" s="8">
        <v>1</v>
      </c>
      <c r="H76" s="10" t="s">
        <v>32</v>
      </c>
      <c r="I76" s="10">
        <f t="shared" si="2"/>
        <v>149</v>
      </c>
      <c r="J76" s="10">
        <f t="shared" si="3"/>
        <v>149</v>
      </c>
      <c r="K76" s="29" t="s">
        <v>32</v>
      </c>
      <c r="L76" s="30" t="s">
        <v>1289</v>
      </c>
      <c r="M76" s="29" t="s">
        <v>32</v>
      </c>
      <c r="N76" s="10" t="s">
        <v>32</v>
      </c>
      <c r="O76" s="10" t="s">
        <v>32</v>
      </c>
      <c r="P76" s="10" t="s">
        <v>32</v>
      </c>
      <c r="Q76" s="10" t="s">
        <v>32</v>
      </c>
      <c r="R76" s="10" t="s">
        <v>32</v>
      </c>
    </row>
    <row r="77" spans="1:18" ht="20.100000000000001" customHeight="1" x14ac:dyDescent="0.25">
      <c r="A77" s="8"/>
      <c r="B77" s="10" t="s">
        <v>298</v>
      </c>
      <c r="C77" s="10"/>
      <c r="D77" s="10" t="s">
        <v>299</v>
      </c>
      <c r="E77" s="10" t="s">
        <v>234</v>
      </c>
      <c r="F77" s="10" t="s">
        <v>300</v>
      </c>
      <c r="G77" s="8">
        <v>1</v>
      </c>
      <c r="H77" s="10" t="s">
        <v>32</v>
      </c>
      <c r="I77" s="10">
        <f t="shared" si="2"/>
        <v>144</v>
      </c>
      <c r="J77" s="10">
        <f t="shared" si="3"/>
        <v>144</v>
      </c>
      <c r="K77" s="29" t="s">
        <v>32</v>
      </c>
      <c r="L77" s="29" t="s">
        <v>32</v>
      </c>
      <c r="M77" s="30" t="s">
        <v>1289</v>
      </c>
      <c r="N77" s="10" t="s">
        <v>32</v>
      </c>
      <c r="O77" s="10" t="s">
        <v>32</v>
      </c>
      <c r="P77" s="10" t="s">
        <v>32</v>
      </c>
      <c r="Q77" s="10" t="s">
        <v>32</v>
      </c>
      <c r="R77" s="10" t="s">
        <v>32</v>
      </c>
    </row>
    <row r="78" spans="1:18" ht="20.100000000000001" customHeight="1" x14ac:dyDescent="0.25">
      <c r="A78" s="7">
        <v>345</v>
      </c>
      <c r="B78" s="9" t="s">
        <v>301</v>
      </c>
      <c r="C78" s="9"/>
      <c r="D78" s="9" t="s">
        <v>302</v>
      </c>
      <c r="E78" s="9" t="s">
        <v>230</v>
      </c>
      <c r="F78" s="9" t="s">
        <v>303</v>
      </c>
      <c r="G78" s="7">
        <v>4</v>
      </c>
      <c r="H78" s="25" t="s">
        <v>1300</v>
      </c>
      <c r="I78" s="9">
        <f t="shared" si="2"/>
        <v>636</v>
      </c>
      <c r="J78" s="9">
        <f t="shared" si="3"/>
        <v>159</v>
      </c>
      <c r="K78" s="3" t="s">
        <v>1289</v>
      </c>
      <c r="L78" s="28" t="s">
        <v>32</v>
      </c>
      <c r="M78" s="28" t="s">
        <v>32</v>
      </c>
      <c r="N78" s="9" t="s">
        <v>32</v>
      </c>
      <c r="O78" s="9" t="s">
        <v>32</v>
      </c>
      <c r="P78" s="9" t="s">
        <v>32</v>
      </c>
      <c r="Q78" s="9" t="s">
        <v>32</v>
      </c>
      <c r="R78" s="9" t="s">
        <v>32</v>
      </c>
    </row>
    <row r="79" spans="1:18" ht="20.100000000000001" customHeight="1" x14ac:dyDescent="0.25">
      <c r="A79" s="7"/>
      <c r="B79" s="9" t="s">
        <v>304</v>
      </c>
      <c r="C79" s="9"/>
      <c r="D79" s="9" t="s">
        <v>305</v>
      </c>
      <c r="E79" s="9" t="s">
        <v>234</v>
      </c>
      <c r="F79" s="9" t="s">
        <v>306</v>
      </c>
      <c r="G79" s="7">
        <v>4</v>
      </c>
      <c r="H79" s="9" t="s">
        <v>32</v>
      </c>
      <c r="I79" s="9">
        <f t="shared" si="2"/>
        <v>596</v>
      </c>
      <c r="J79" s="9">
        <f t="shared" si="3"/>
        <v>149</v>
      </c>
      <c r="K79" s="28" t="s">
        <v>32</v>
      </c>
      <c r="L79" s="3" t="s">
        <v>1289</v>
      </c>
      <c r="M79" s="28" t="s">
        <v>32</v>
      </c>
      <c r="N79" s="9" t="s">
        <v>32</v>
      </c>
      <c r="O79" s="9" t="s">
        <v>32</v>
      </c>
      <c r="P79" s="9" t="s">
        <v>32</v>
      </c>
      <c r="Q79" s="9" t="s">
        <v>32</v>
      </c>
      <c r="R79" s="9" t="s">
        <v>32</v>
      </c>
    </row>
    <row r="80" spans="1:18" ht="20.100000000000001" customHeight="1" x14ac:dyDescent="0.25">
      <c r="A80" s="7"/>
      <c r="B80" s="9" t="s">
        <v>307</v>
      </c>
      <c r="C80" s="9"/>
      <c r="D80" s="9" t="s">
        <v>308</v>
      </c>
      <c r="E80" s="9" t="s">
        <v>74</v>
      </c>
      <c r="F80" s="9" t="s">
        <v>309</v>
      </c>
      <c r="G80" s="7">
        <v>4</v>
      </c>
      <c r="H80" s="9" t="s">
        <v>32</v>
      </c>
      <c r="I80" s="9">
        <f t="shared" si="2"/>
        <v>576</v>
      </c>
      <c r="J80" s="9">
        <f t="shared" si="3"/>
        <v>144</v>
      </c>
      <c r="K80" s="28" t="s">
        <v>32</v>
      </c>
      <c r="L80" s="28" t="s">
        <v>32</v>
      </c>
      <c r="M80" s="3" t="s">
        <v>1289</v>
      </c>
      <c r="N80" s="9" t="s">
        <v>32</v>
      </c>
      <c r="O80" s="9" t="s">
        <v>32</v>
      </c>
      <c r="P80" s="9" t="s">
        <v>32</v>
      </c>
      <c r="Q80" s="9" t="s">
        <v>32</v>
      </c>
      <c r="R80" s="9" t="s">
        <v>32</v>
      </c>
    </row>
    <row r="81" spans="1:18" ht="20.100000000000001" customHeight="1" x14ac:dyDescent="0.25">
      <c r="A81" s="8">
        <v>346</v>
      </c>
      <c r="B81" s="10" t="s">
        <v>310</v>
      </c>
      <c r="C81" s="10"/>
      <c r="D81" s="10" t="s">
        <v>311</v>
      </c>
      <c r="E81" s="10" t="s">
        <v>74</v>
      </c>
      <c r="F81" s="10" t="s">
        <v>312</v>
      </c>
      <c r="G81" s="8">
        <v>1</v>
      </c>
      <c r="H81" s="10" t="s">
        <v>313</v>
      </c>
      <c r="I81" s="10">
        <f t="shared" si="2"/>
        <v>159</v>
      </c>
      <c r="J81" s="10">
        <f t="shared" si="3"/>
        <v>159</v>
      </c>
      <c r="K81" s="30" t="s">
        <v>1289</v>
      </c>
      <c r="L81" s="29" t="s">
        <v>32</v>
      </c>
      <c r="M81" s="29" t="s">
        <v>32</v>
      </c>
      <c r="N81" s="10" t="s">
        <v>32</v>
      </c>
      <c r="O81" s="10" t="s">
        <v>32</v>
      </c>
      <c r="P81" s="10" t="s">
        <v>32</v>
      </c>
      <c r="Q81" s="10" t="s">
        <v>32</v>
      </c>
      <c r="R81" s="10" t="s">
        <v>32</v>
      </c>
    </row>
    <row r="82" spans="1:18" ht="20.100000000000001" customHeight="1" x14ac:dyDescent="0.25">
      <c r="A82" s="8"/>
      <c r="B82" s="10" t="s">
        <v>314</v>
      </c>
      <c r="C82" s="10"/>
      <c r="D82" s="10" t="s">
        <v>315</v>
      </c>
      <c r="E82" s="10" t="s">
        <v>316</v>
      </c>
      <c r="F82" s="10" t="s">
        <v>317</v>
      </c>
      <c r="G82" s="8">
        <v>1</v>
      </c>
      <c r="H82" s="10" t="s">
        <v>32</v>
      </c>
      <c r="I82" s="10">
        <f t="shared" si="2"/>
        <v>149</v>
      </c>
      <c r="J82" s="10">
        <f t="shared" si="3"/>
        <v>149</v>
      </c>
      <c r="K82" s="29" t="s">
        <v>32</v>
      </c>
      <c r="L82" s="30" t="s">
        <v>1289</v>
      </c>
      <c r="M82" s="29" t="s">
        <v>32</v>
      </c>
      <c r="N82" s="10" t="s">
        <v>32</v>
      </c>
      <c r="O82" s="10" t="s">
        <v>32</v>
      </c>
      <c r="P82" s="10" t="s">
        <v>32</v>
      </c>
      <c r="Q82" s="10" t="s">
        <v>32</v>
      </c>
      <c r="R82" s="10" t="s">
        <v>32</v>
      </c>
    </row>
    <row r="83" spans="1:18" ht="20.100000000000001" customHeight="1" x14ac:dyDescent="0.25">
      <c r="A83" s="8"/>
      <c r="B83" s="10" t="s">
        <v>318</v>
      </c>
      <c r="C83" s="10"/>
      <c r="D83" s="10" t="s">
        <v>319</v>
      </c>
      <c r="E83" s="10" t="s">
        <v>320</v>
      </c>
      <c r="F83" s="10" t="s">
        <v>321</v>
      </c>
      <c r="G83" s="8">
        <v>1</v>
      </c>
      <c r="H83" s="10" t="s">
        <v>32</v>
      </c>
      <c r="I83" s="10">
        <f t="shared" si="2"/>
        <v>144</v>
      </c>
      <c r="J83" s="10">
        <f t="shared" si="3"/>
        <v>144</v>
      </c>
      <c r="K83" s="29" t="s">
        <v>32</v>
      </c>
      <c r="L83" s="29" t="s">
        <v>32</v>
      </c>
      <c r="M83" s="30" t="s">
        <v>1289</v>
      </c>
      <c r="N83" s="10" t="s">
        <v>32</v>
      </c>
      <c r="O83" s="10" t="s">
        <v>32</v>
      </c>
      <c r="P83" s="10" t="s">
        <v>32</v>
      </c>
      <c r="Q83" s="10" t="s">
        <v>32</v>
      </c>
      <c r="R83" s="10" t="s">
        <v>32</v>
      </c>
    </row>
    <row r="84" spans="1:18" ht="20.100000000000001" customHeight="1" x14ac:dyDescent="0.25">
      <c r="A84" s="7">
        <v>347</v>
      </c>
      <c r="B84" s="9" t="s">
        <v>322</v>
      </c>
      <c r="C84" s="9"/>
      <c r="D84" s="9" t="s">
        <v>323</v>
      </c>
      <c r="E84" s="9" t="s">
        <v>81</v>
      </c>
      <c r="F84" s="9" t="s">
        <v>324</v>
      </c>
      <c r="G84" s="7">
        <v>1</v>
      </c>
      <c r="H84" s="9" t="s">
        <v>325</v>
      </c>
      <c r="I84" s="9">
        <f t="shared" si="2"/>
        <v>159</v>
      </c>
      <c r="J84" s="9">
        <f t="shared" si="3"/>
        <v>159</v>
      </c>
      <c r="K84" s="3" t="s">
        <v>1289</v>
      </c>
      <c r="L84" s="28" t="s">
        <v>32</v>
      </c>
      <c r="M84" s="28" t="s">
        <v>32</v>
      </c>
      <c r="N84" s="9" t="s">
        <v>32</v>
      </c>
      <c r="O84" s="9" t="s">
        <v>32</v>
      </c>
      <c r="P84" s="9" t="s">
        <v>32</v>
      </c>
      <c r="Q84" s="9" t="s">
        <v>32</v>
      </c>
      <c r="R84" s="9" t="s">
        <v>32</v>
      </c>
    </row>
    <row r="85" spans="1:18" ht="20.100000000000001" customHeight="1" x14ac:dyDescent="0.25">
      <c r="A85" s="7"/>
      <c r="B85" s="9" t="s">
        <v>326</v>
      </c>
      <c r="C85" s="9"/>
      <c r="D85" s="9" t="s">
        <v>327</v>
      </c>
      <c r="E85" s="9" t="s">
        <v>74</v>
      </c>
      <c r="F85" s="9" t="s">
        <v>328</v>
      </c>
      <c r="G85" s="7">
        <v>1</v>
      </c>
      <c r="H85" s="9" t="s">
        <v>32</v>
      </c>
      <c r="I85" s="9">
        <f t="shared" si="2"/>
        <v>149</v>
      </c>
      <c r="J85" s="9">
        <f t="shared" si="3"/>
        <v>149</v>
      </c>
      <c r="K85" s="28" t="s">
        <v>32</v>
      </c>
      <c r="L85" s="3" t="s">
        <v>1289</v>
      </c>
      <c r="M85" s="28" t="s">
        <v>32</v>
      </c>
      <c r="N85" s="9" t="s">
        <v>32</v>
      </c>
      <c r="O85" s="9" t="s">
        <v>32</v>
      </c>
      <c r="P85" s="9" t="s">
        <v>32</v>
      </c>
      <c r="Q85" s="9" t="s">
        <v>32</v>
      </c>
      <c r="R85" s="9" t="s">
        <v>32</v>
      </c>
    </row>
    <row r="86" spans="1:18" ht="20.100000000000001" customHeight="1" x14ac:dyDescent="0.25">
      <c r="A86" s="7"/>
      <c r="B86" s="9" t="s">
        <v>329</v>
      </c>
      <c r="C86" s="9"/>
      <c r="D86" s="9" t="s">
        <v>330</v>
      </c>
      <c r="E86" s="9" t="s">
        <v>316</v>
      </c>
      <c r="F86" s="9" t="s">
        <v>331</v>
      </c>
      <c r="G86" s="7">
        <v>1</v>
      </c>
      <c r="H86" s="9" t="s">
        <v>32</v>
      </c>
      <c r="I86" s="9">
        <f t="shared" si="2"/>
        <v>144</v>
      </c>
      <c r="J86" s="9">
        <f t="shared" si="3"/>
        <v>144</v>
      </c>
      <c r="K86" s="28" t="s">
        <v>32</v>
      </c>
      <c r="L86" s="28" t="s">
        <v>32</v>
      </c>
      <c r="M86" s="3" t="s">
        <v>1289</v>
      </c>
      <c r="N86" s="9" t="s">
        <v>32</v>
      </c>
      <c r="O86" s="9" t="s">
        <v>32</v>
      </c>
      <c r="P86" s="9" t="s">
        <v>32</v>
      </c>
      <c r="Q86" s="9" t="s">
        <v>32</v>
      </c>
      <c r="R86" s="9" t="s">
        <v>32</v>
      </c>
    </row>
    <row r="87" spans="1:18" ht="20.100000000000001" customHeight="1" x14ac:dyDescent="0.25">
      <c r="A87" s="8">
        <v>348</v>
      </c>
      <c r="B87" s="10" t="s">
        <v>332</v>
      </c>
      <c r="C87" s="10"/>
      <c r="D87" s="10" t="s">
        <v>333</v>
      </c>
      <c r="E87" s="10" t="s">
        <v>230</v>
      </c>
      <c r="F87" s="10" t="s">
        <v>334</v>
      </c>
      <c r="G87" s="8">
        <v>2</v>
      </c>
      <c r="H87" s="10" t="s">
        <v>335</v>
      </c>
      <c r="I87" s="10">
        <f t="shared" si="2"/>
        <v>318</v>
      </c>
      <c r="J87" s="10">
        <f t="shared" si="3"/>
        <v>159</v>
      </c>
      <c r="K87" s="30" t="s">
        <v>1289</v>
      </c>
      <c r="L87" s="29" t="s">
        <v>32</v>
      </c>
      <c r="M87" s="29" t="s">
        <v>32</v>
      </c>
      <c r="N87" s="10" t="s">
        <v>32</v>
      </c>
      <c r="O87" s="10" t="s">
        <v>32</v>
      </c>
      <c r="P87" s="10" t="s">
        <v>32</v>
      </c>
      <c r="Q87" s="10" t="s">
        <v>32</v>
      </c>
      <c r="R87" s="10" t="s">
        <v>32</v>
      </c>
    </row>
    <row r="88" spans="1:18" ht="20.100000000000001" customHeight="1" x14ac:dyDescent="0.25">
      <c r="A88" s="8"/>
      <c r="B88" s="10" t="s">
        <v>336</v>
      </c>
      <c r="C88" s="10"/>
      <c r="D88" s="10" t="s">
        <v>337</v>
      </c>
      <c r="E88" s="10" t="s">
        <v>234</v>
      </c>
      <c r="F88" s="10" t="s">
        <v>338</v>
      </c>
      <c r="G88" s="8">
        <v>2</v>
      </c>
      <c r="H88" s="10" t="s">
        <v>32</v>
      </c>
      <c r="I88" s="10">
        <f t="shared" si="2"/>
        <v>298</v>
      </c>
      <c r="J88" s="10">
        <f t="shared" si="3"/>
        <v>149</v>
      </c>
      <c r="K88" s="29" t="s">
        <v>32</v>
      </c>
      <c r="L88" s="30" t="s">
        <v>1289</v>
      </c>
      <c r="M88" s="29" t="s">
        <v>32</v>
      </c>
      <c r="N88" s="10" t="s">
        <v>32</v>
      </c>
      <c r="O88" s="10" t="s">
        <v>32</v>
      </c>
      <c r="P88" s="10" t="s">
        <v>32</v>
      </c>
      <c r="Q88" s="10" t="s">
        <v>32</v>
      </c>
      <c r="R88" s="10" t="s">
        <v>32</v>
      </c>
    </row>
    <row r="89" spans="1:18" ht="20.100000000000001" customHeight="1" x14ac:dyDescent="0.25">
      <c r="A89" s="8"/>
      <c r="B89" s="10" t="s">
        <v>339</v>
      </c>
      <c r="C89" s="10"/>
      <c r="D89" s="10" t="s">
        <v>340</v>
      </c>
      <c r="E89" s="10" t="s">
        <v>81</v>
      </c>
      <c r="F89" s="10" t="s">
        <v>341</v>
      </c>
      <c r="G89" s="8">
        <v>2</v>
      </c>
      <c r="H89" s="10" t="s">
        <v>32</v>
      </c>
      <c r="I89" s="10">
        <f t="shared" si="2"/>
        <v>288</v>
      </c>
      <c r="J89" s="10">
        <f t="shared" si="3"/>
        <v>144</v>
      </c>
      <c r="K89" s="29" t="s">
        <v>32</v>
      </c>
      <c r="L89" s="29" t="s">
        <v>32</v>
      </c>
      <c r="M89" s="30" t="s">
        <v>1289</v>
      </c>
      <c r="N89" s="10" t="s">
        <v>32</v>
      </c>
      <c r="O89" s="10" t="s">
        <v>32</v>
      </c>
      <c r="P89" s="10" t="s">
        <v>32</v>
      </c>
      <c r="Q89" s="10" t="s">
        <v>32</v>
      </c>
      <c r="R89" s="10" t="s">
        <v>32</v>
      </c>
    </row>
    <row r="90" spans="1:18" ht="20.100000000000001" customHeight="1" x14ac:dyDescent="0.25">
      <c r="A90" s="7">
        <v>349</v>
      </c>
      <c r="B90" s="9" t="s">
        <v>342</v>
      </c>
      <c r="C90" s="9"/>
      <c r="D90" s="9" t="s">
        <v>343</v>
      </c>
      <c r="E90" s="9" t="s">
        <v>199</v>
      </c>
      <c r="F90" s="9" t="s">
        <v>344</v>
      </c>
      <c r="G90" s="7">
        <v>1</v>
      </c>
      <c r="H90" s="9" t="s">
        <v>345</v>
      </c>
      <c r="I90" s="9">
        <f t="shared" si="2"/>
        <v>452</v>
      </c>
      <c r="J90" s="9">
        <f t="shared" si="3"/>
        <v>452</v>
      </c>
      <c r="K90" s="3" t="s">
        <v>1289</v>
      </c>
      <c r="L90" s="3" t="s">
        <v>1289</v>
      </c>
      <c r="M90" s="3" t="s">
        <v>1289</v>
      </c>
      <c r="N90" s="9" t="s">
        <v>32</v>
      </c>
      <c r="O90" s="9" t="s">
        <v>32</v>
      </c>
      <c r="P90" s="9" t="s">
        <v>32</v>
      </c>
      <c r="Q90" s="9" t="s">
        <v>32</v>
      </c>
      <c r="R90" s="9" t="s">
        <v>32</v>
      </c>
    </row>
    <row r="91" spans="1:18" ht="20.100000000000001" customHeight="1" x14ac:dyDescent="0.25">
      <c r="A91" s="8">
        <v>352</v>
      </c>
      <c r="B91" s="10" t="s">
        <v>346</v>
      </c>
      <c r="C91" s="10"/>
      <c r="D91" s="10" t="s">
        <v>347</v>
      </c>
      <c r="E91" s="10" t="s">
        <v>348</v>
      </c>
      <c r="F91" s="10" t="s">
        <v>349</v>
      </c>
      <c r="G91" s="8">
        <v>1</v>
      </c>
      <c r="H91" s="10" t="s">
        <v>350</v>
      </c>
      <c r="I91" s="10">
        <f t="shared" si="2"/>
        <v>159</v>
      </c>
      <c r="J91" s="10">
        <f t="shared" si="3"/>
        <v>159</v>
      </c>
      <c r="K91" s="30" t="s">
        <v>1289</v>
      </c>
      <c r="L91" s="29" t="s">
        <v>32</v>
      </c>
      <c r="M91" s="29" t="s">
        <v>32</v>
      </c>
      <c r="N91" s="10" t="s">
        <v>32</v>
      </c>
      <c r="O91" s="10" t="s">
        <v>32</v>
      </c>
      <c r="P91" s="10" t="s">
        <v>32</v>
      </c>
      <c r="Q91" s="10" t="s">
        <v>32</v>
      </c>
      <c r="R91" s="10" t="s">
        <v>32</v>
      </c>
    </row>
    <row r="92" spans="1:18" ht="20.100000000000001" customHeight="1" x14ac:dyDescent="0.25">
      <c r="A92" s="8"/>
      <c r="B92" s="10" t="s">
        <v>351</v>
      </c>
      <c r="C92" s="10"/>
      <c r="D92" s="10" t="s">
        <v>347</v>
      </c>
      <c r="E92" s="10" t="s">
        <v>352</v>
      </c>
      <c r="F92" s="10" t="s">
        <v>353</v>
      </c>
      <c r="G92" s="8">
        <v>1</v>
      </c>
      <c r="H92" s="10" t="s">
        <v>32</v>
      </c>
      <c r="I92" s="10">
        <f t="shared" si="2"/>
        <v>149</v>
      </c>
      <c r="J92" s="10">
        <f t="shared" si="3"/>
        <v>149</v>
      </c>
      <c r="K92" s="29" t="s">
        <v>32</v>
      </c>
      <c r="L92" s="30" t="s">
        <v>1289</v>
      </c>
      <c r="M92" s="29" t="s">
        <v>32</v>
      </c>
      <c r="N92" s="10" t="s">
        <v>32</v>
      </c>
      <c r="O92" s="10" t="s">
        <v>32</v>
      </c>
      <c r="P92" s="10" t="s">
        <v>32</v>
      </c>
      <c r="Q92" s="10" t="s">
        <v>32</v>
      </c>
      <c r="R92" s="10" t="s">
        <v>32</v>
      </c>
    </row>
    <row r="93" spans="1:18" ht="20.100000000000001" customHeight="1" x14ac:dyDescent="0.25">
      <c r="A93" s="8"/>
      <c r="B93" s="10" t="s">
        <v>354</v>
      </c>
      <c r="C93" s="10"/>
      <c r="D93" s="10" t="s">
        <v>347</v>
      </c>
      <c r="E93" s="10" t="s">
        <v>355</v>
      </c>
      <c r="F93" s="10" t="s">
        <v>356</v>
      </c>
      <c r="G93" s="8">
        <v>1</v>
      </c>
      <c r="H93" s="10" t="s">
        <v>32</v>
      </c>
      <c r="I93" s="10">
        <f t="shared" si="2"/>
        <v>144</v>
      </c>
      <c r="J93" s="10">
        <f t="shared" si="3"/>
        <v>144</v>
      </c>
      <c r="K93" s="29" t="s">
        <v>32</v>
      </c>
      <c r="L93" s="29" t="s">
        <v>32</v>
      </c>
      <c r="M93" s="30" t="s">
        <v>1289</v>
      </c>
      <c r="N93" s="10" t="s">
        <v>32</v>
      </c>
      <c r="O93" s="10" t="s">
        <v>32</v>
      </c>
      <c r="P93" s="10" t="s">
        <v>32</v>
      </c>
      <c r="Q93" s="10" t="s">
        <v>32</v>
      </c>
      <c r="R93" s="10" t="s">
        <v>32</v>
      </c>
    </row>
    <row r="94" spans="1:18" ht="20.100000000000001" customHeight="1" x14ac:dyDescent="0.25">
      <c r="A94" s="7">
        <v>353</v>
      </c>
      <c r="B94" s="9" t="s">
        <v>357</v>
      </c>
      <c r="C94" s="9"/>
      <c r="D94" s="9" t="s">
        <v>358</v>
      </c>
      <c r="E94" s="9" t="s">
        <v>359</v>
      </c>
      <c r="F94" s="9" t="s">
        <v>360</v>
      </c>
      <c r="G94" s="7">
        <v>1</v>
      </c>
      <c r="H94" s="9" t="s">
        <v>361</v>
      </c>
      <c r="I94" s="9">
        <f t="shared" si="2"/>
        <v>159</v>
      </c>
      <c r="J94" s="9">
        <f t="shared" si="3"/>
        <v>159</v>
      </c>
      <c r="K94" s="3" t="s">
        <v>1289</v>
      </c>
      <c r="L94" s="28" t="s">
        <v>32</v>
      </c>
      <c r="M94" s="28" t="s">
        <v>32</v>
      </c>
      <c r="N94" s="9" t="s">
        <v>32</v>
      </c>
      <c r="O94" s="9" t="s">
        <v>32</v>
      </c>
      <c r="P94" s="9" t="s">
        <v>32</v>
      </c>
      <c r="Q94" s="9" t="s">
        <v>32</v>
      </c>
      <c r="R94" s="9" t="s">
        <v>32</v>
      </c>
    </row>
    <row r="95" spans="1:18" ht="20.100000000000001" customHeight="1" x14ac:dyDescent="0.25">
      <c r="A95" s="7"/>
      <c r="B95" s="9" t="s">
        <v>362</v>
      </c>
      <c r="C95" s="9"/>
      <c r="D95" s="9" t="s">
        <v>363</v>
      </c>
      <c r="E95" s="9" t="s">
        <v>364</v>
      </c>
      <c r="F95" s="9" t="s">
        <v>365</v>
      </c>
      <c r="G95" s="7">
        <v>1</v>
      </c>
      <c r="H95" s="9" t="s">
        <v>32</v>
      </c>
      <c r="I95" s="9">
        <f t="shared" si="2"/>
        <v>149</v>
      </c>
      <c r="J95" s="9">
        <f t="shared" si="3"/>
        <v>149</v>
      </c>
      <c r="K95" s="28" t="s">
        <v>32</v>
      </c>
      <c r="L95" s="3" t="s">
        <v>1289</v>
      </c>
      <c r="M95" s="28" t="s">
        <v>32</v>
      </c>
      <c r="N95" s="9" t="s">
        <v>32</v>
      </c>
      <c r="O95" s="9" t="s">
        <v>32</v>
      </c>
      <c r="P95" s="9" t="s">
        <v>32</v>
      </c>
      <c r="Q95" s="9" t="s">
        <v>32</v>
      </c>
      <c r="R95" s="9" t="s">
        <v>32</v>
      </c>
    </row>
    <row r="96" spans="1:18" ht="20.100000000000001" customHeight="1" x14ac:dyDescent="0.25">
      <c r="A96" s="7"/>
      <c r="B96" s="9" t="s">
        <v>366</v>
      </c>
      <c r="C96" s="9"/>
      <c r="D96" s="9" t="s">
        <v>367</v>
      </c>
      <c r="E96" s="9" t="s">
        <v>368</v>
      </c>
      <c r="F96" s="9" t="s">
        <v>369</v>
      </c>
      <c r="G96" s="7">
        <v>1</v>
      </c>
      <c r="H96" s="9" t="s">
        <v>32</v>
      </c>
      <c r="I96" s="9">
        <f t="shared" si="2"/>
        <v>144</v>
      </c>
      <c r="J96" s="9">
        <f t="shared" si="3"/>
        <v>144</v>
      </c>
      <c r="K96" s="28" t="s">
        <v>32</v>
      </c>
      <c r="L96" s="28" t="s">
        <v>32</v>
      </c>
      <c r="M96" s="3" t="s">
        <v>1289</v>
      </c>
      <c r="N96" s="9" t="s">
        <v>32</v>
      </c>
      <c r="O96" s="9" t="s">
        <v>32</v>
      </c>
      <c r="P96" s="9" t="s">
        <v>32</v>
      </c>
      <c r="Q96" s="9" t="s">
        <v>32</v>
      </c>
      <c r="R96" s="9" t="s">
        <v>32</v>
      </c>
    </row>
    <row r="97" spans="1:18" ht="20.100000000000001" customHeight="1" x14ac:dyDescent="0.25">
      <c r="A97" s="8">
        <v>358</v>
      </c>
      <c r="B97" s="10" t="s">
        <v>370</v>
      </c>
      <c r="C97" s="10"/>
      <c r="D97" s="10" t="s">
        <v>371</v>
      </c>
      <c r="E97" s="10" t="s">
        <v>372</v>
      </c>
      <c r="F97" s="10" t="s">
        <v>373</v>
      </c>
      <c r="G97" s="8">
        <v>1</v>
      </c>
      <c r="H97" s="10" t="s">
        <v>374</v>
      </c>
      <c r="I97" s="10">
        <f t="shared" si="2"/>
        <v>159</v>
      </c>
      <c r="J97" s="10">
        <f t="shared" si="3"/>
        <v>159</v>
      </c>
      <c r="K97" s="30" t="s">
        <v>1289</v>
      </c>
      <c r="L97" s="29" t="s">
        <v>32</v>
      </c>
      <c r="M97" s="29" t="s">
        <v>32</v>
      </c>
      <c r="N97" s="10" t="s">
        <v>32</v>
      </c>
      <c r="O97" s="10" t="s">
        <v>32</v>
      </c>
      <c r="P97" s="10" t="s">
        <v>32</v>
      </c>
      <c r="Q97" s="10" t="s">
        <v>32</v>
      </c>
      <c r="R97" s="10" t="s">
        <v>32</v>
      </c>
    </row>
    <row r="98" spans="1:18" ht="20.100000000000001" customHeight="1" x14ac:dyDescent="0.25">
      <c r="A98" s="8"/>
      <c r="B98" s="10" t="s">
        <v>375</v>
      </c>
      <c r="C98" s="10"/>
      <c r="D98" s="10" t="s">
        <v>376</v>
      </c>
      <c r="E98" s="10" t="s">
        <v>368</v>
      </c>
      <c r="F98" s="10" t="s">
        <v>377</v>
      </c>
      <c r="G98" s="8">
        <v>1</v>
      </c>
      <c r="H98" s="10" t="s">
        <v>32</v>
      </c>
      <c r="I98" s="10">
        <f t="shared" si="2"/>
        <v>149</v>
      </c>
      <c r="J98" s="10">
        <f t="shared" si="3"/>
        <v>149</v>
      </c>
      <c r="K98" s="29" t="s">
        <v>32</v>
      </c>
      <c r="L98" s="30" t="s">
        <v>1289</v>
      </c>
      <c r="M98" s="29" t="s">
        <v>32</v>
      </c>
      <c r="N98" s="10" t="s">
        <v>32</v>
      </c>
      <c r="O98" s="10" t="s">
        <v>32</v>
      </c>
      <c r="P98" s="10" t="s">
        <v>32</v>
      </c>
      <c r="Q98" s="10" t="s">
        <v>32</v>
      </c>
      <c r="R98" s="10" t="s">
        <v>32</v>
      </c>
    </row>
    <row r="99" spans="1:18" ht="20.100000000000001" customHeight="1" x14ac:dyDescent="0.25">
      <c r="A99" s="8"/>
      <c r="B99" s="10" t="s">
        <v>378</v>
      </c>
      <c r="C99" s="10"/>
      <c r="D99" s="10" t="s">
        <v>376</v>
      </c>
      <c r="E99" s="10" t="s">
        <v>379</v>
      </c>
      <c r="F99" s="10" t="s">
        <v>380</v>
      </c>
      <c r="G99" s="8">
        <v>1</v>
      </c>
      <c r="H99" s="10" t="s">
        <v>32</v>
      </c>
      <c r="I99" s="10">
        <f t="shared" si="2"/>
        <v>144</v>
      </c>
      <c r="J99" s="10">
        <f t="shared" si="3"/>
        <v>144</v>
      </c>
      <c r="K99" s="29" t="s">
        <v>32</v>
      </c>
      <c r="L99" s="29" t="s">
        <v>32</v>
      </c>
      <c r="M99" s="30" t="s">
        <v>1289</v>
      </c>
      <c r="N99" s="10" t="s">
        <v>32</v>
      </c>
      <c r="O99" s="10" t="s">
        <v>32</v>
      </c>
      <c r="P99" s="10" t="s">
        <v>32</v>
      </c>
      <c r="Q99" s="10" t="s">
        <v>32</v>
      </c>
      <c r="R99" s="10" t="s">
        <v>32</v>
      </c>
    </row>
    <row r="100" spans="1:18" ht="20.100000000000001" customHeight="1" x14ac:dyDescent="0.25">
      <c r="A100" s="7">
        <v>363</v>
      </c>
      <c r="B100" s="9" t="s">
        <v>381</v>
      </c>
      <c r="C100" s="9"/>
      <c r="D100" s="9" t="s">
        <v>382</v>
      </c>
      <c r="E100" s="9" t="s">
        <v>372</v>
      </c>
      <c r="F100" s="9" t="s">
        <v>383</v>
      </c>
      <c r="G100" s="7">
        <v>1</v>
      </c>
      <c r="H100" s="9" t="s">
        <v>384</v>
      </c>
      <c r="I100" s="9">
        <f t="shared" si="2"/>
        <v>159</v>
      </c>
      <c r="J100" s="9">
        <f t="shared" si="3"/>
        <v>159</v>
      </c>
      <c r="K100" s="3" t="s">
        <v>1289</v>
      </c>
      <c r="L100" s="28" t="s">
        <v>32</v>
      </c>
      <c r="M100" s="28" t="s">
        <v>32</v>
      </c>
      <c r="N100" s="9" t="s">
        <v>32</v>
      </c>
      <c r="O100" s="9" t="s">
        <v>32</v>
      </c>
      <c r="P100" s="9" t="s">
        <v>32</v>
      </c>
      <c r="Q100" s="9" t="s">
        <v>32</v>
      </c>
      <c r="R100" s="9" t="s">
        <v>32</v>
      </c>
    </row>
    <row r="101" spans="1:18" ht="20.100000000000001" customHeight="1" x14ac:dyDescent="0.25">
      <c r="A101" s="7"/>
      <c r="B101" s="9" t="s">
        <v>385</v>
      </c>
      <c r="C101" s="9"/>
      <c r="D101" s="9" t="s">
        <v>386</v>
      </c>
      <c r="E101" s="9" t="s">
        <v>387</v>
      </c>
      <c r="F101" s="9" t="s">
        <v>388</v>
      </c>
      <c r="G101" s="7">
        <v>1</v>
      </c>
      <c r="H101" s="9" t="s">
        <v>32</v>
      </c>
      <c r="I101" s="9">
        <f t="shared" si="2"/>
        <v>149</v>
      </c>
      <c r="J101" s="9">
        <f t="shared" si="3"/>
        <v>149</v>
      </c>
      <c r="K101" s="28" t="s">
        <v>32</v>
      </c>
      <c r="L101" s="3" t="s">
        <v>1289</v>
      </c>
      <c r="M101" s="28" t="s">
        <v>32</v>
      </c>
      <c r="N101" s="9" t="s">
        <v>32</v>
      </c>
      <c r="O101" s="9" t="s">
        <v>32</v>
      </c>
      <c r="P101" s="9" t="s">
        <v>32</v>
      </c>
      <c r="Q101" s="9" t="s">
        <v>32</v>
      </c>
      <c r="R101" s="9" t="s">
        <v>32</v>
      </c>
    </row>
    <row r="102" spans="1:18" ht="20.100000000000001" customHeight="1" x14ac:dyDescent="0.25">
      <c r="A102" s="7"/>
      <c r="B102" s="9" t="s">
        <v>389</v>
      </c>
      <c r="C102" s="9"/>
      <c r="D102" s="9" t="s">
        <v>390</v>
      </c>
      <c r="E102" s="9" t="s">
        <v>379</v>
      </c>
      <c r="F102" s="9" t="s">
        <v>391</v>
      </c>
      <c r="G102" s="7">
        <v>1</v>
      </c>
      <c r="H102" s="9" t="s">
        <v>32</v>
      </c>
      <c r="I102" s="9">
        <f t="shared" si="2"/>
        <v>144</v>
      </c>
      <c r="J102" s="9">
        <f t="shared" si="3"/>
        <v>144</v>
      </c>
      <c r="K102" s="28" t="s">
        <v>32</v>
      </c>
      <c r="L102" s="28" t="s">
        <v>32</v>
      </c>
      <c r="M102" s="3" t="s">
        <v>1289</v>
      </c>
      <c r="N102" s="9" t="s">
        <v>32</v>
      </c>
      <c r="O102" s="9" t="s">
        <v>32</v>
      </c>
      <c r="P102" s="9" t="s">
        <v>32</v>
      </c>
      <c r="Q102" s="9" t="s">
        <v>32</v>
      </c>
      <c r="R102" s="9" t="s">
        <v>32</v>
      </c>
    </row>
    <row r="103" spans="1:18" ht="20.100000000000001" customHeight="1" x14ac:dyDescent="0.25">
      <c r="A103" s="8">
        <v>364</v>
      </c>
      <c r="B103" s="10" t="s">
        <v>392</v>
      </c>
      <c r="C103" s="10"/>
      <c r="D103" s="10" t="s">
        <v>393</v>
      </c>
      <c r="E103" s="10" t="s">
        <v>359</v>
      </c>
      <c r="F103" s="10" t="s">
        <v>394</v>
      </c>
      <c r="G103" s="8">
        <v>2</v>
      </c>
      <c r="H103" s="10" t="s">
        <v>395</v>
      </c>
      <c r="I103" s="10">
        <f t="shared" si="2"/>
        <v>318</v>
      </c>
      <c r="J103" s="10">
        <f t="shared" si="3"/>
        <v>159</v>
      </c>
      <c r="K103" s="30" t="s">
        <v>1289</v>
      </c>
      <c r="L103" s="29" t="s">
        <v>32</v>
      </c>
      <c r="M103" s="29" t="s">
        <v>32</v>
      </c>
      <c r="N103" s="10" t="s">
        <v>32</v>
      </c>
      <c r="O103" s="10" t="s">
        <v>32</v>
      </c>
      <c r="P103" s="10" t="s">
        <v>32</v>
      </c>
      <c r="Q103" s="10" t="s">
        <v>32</v>
      </c>
      <c r="R103" s="10" t="s">
        <v>32</v>
      </c>
    </row>
    <row r="104" spans="1:18" ht="20.100000000000001" customHeight="1" x14ac:dyDescent="0.25">
      <c r="A104" s="8"/>
      <c r="B104" s="10" t="s">
        <v>396</v>
      </c>
      <c r="C104" s="10"/>
      <c r="D104" s="10" t="s">
        <v>393</v>
      </c>
      <c r="E104" s="10" t="s">
        <v>387</v>
      </c>
      <c r="F104" s="10" t="s">
        <v>397</v>
      </c>
      <c r="G104" s="8">
        <v>2</v>
      </c>
      <c r="H104" s="10" t="s">
        <v>32</v>
      </c>
      <c r="I104" s="10">
        <f t="shared" si="2"/>
        <v>298</v>
      </c>
      <c r="J104" s="10">
        <f t="shared" si="3"/>
        <v>149</v>
      </c>
      <c r="K104" s="29" t="s">
        <v>32</v>
      </c>
      <c r="L104" s="30" t="s">
        <v>1289</v>
      </c>
      <c r="M104" s="29" t="s">
        <v>32</v>
      </c>
      <c r="N104" s="10" t="s">
        <v>32</v>
      </c>
      <c r="O104" s="10" t="s">
        <v>32</v>
      </c>
      <c r="P104" s="10" t="s">
        <v>32</v>
      </c>
      <c r="Q104" s="10" t="s">
        <v>32</v>
      </c>
      <c r="R104" s="10" t="s">
        <v>32</v>
      </c>
    </row>
    <row r="105" spans="1:18" ht="20.100000000000001" customHeight="1" x14ac:dyDescent="0.25">
      <c r="A105" s="8"/>
      <c r="B105" s="10" t="s">
        <v>398</v>
      </c>
      <c r="C105" s="10"/>
      <c r="D105" s="10" t="s">
        <v>393</v>
      </c>
      <c r="E105" s="10" t="s">
        <v>399</v>
      </c>
      <c r="F105" s="10" t="s">
        <v>400</v>
      </c>
      <c r="G105" s="8">
        <v>2</v>
      </c>
      <c r="H105" s="10" t="s">
        <v>32</v>
      </c>
      <c r="I105" s="10">
        <f t="shared" si="2"/>
        <v>288</v>
      </c>
      <c r="J105" s="10">
        <f t="shared" si="3"/>
        <v>144</v>
      </c>
      <c r="K105" s="29" t="s">
        <v>32</v>
      </c>
      <c r="L105" s="29" t="s">
        <v>32</v>
      </c>
      <c r="M105" s="30" t="s">
        <v>1289</v>
      </c>
      <c r="N105" s="10" t="s">
        <v>32</v>
      </c>
      <c r="O105" s="10" t="s">
        <v>32</v>
      </c>
      <c r="P105" s="10" t="s">
        <v>32</v>
      </c>
      <c r="Q105" s="10" t="s">
        <v>32</v>
      </c>
      <c r="R105" s="10" t="s">
        <v>32</v>
      </c>
    </row>
    <row r="106" spans="1:18" ht="20.100000000000001" customHeight="1" x14ac:dyDescent="0.25">
      <c r="A106" s="7">
        <v>365</v>
      </c>
      <c r="B106" s="9" t="s">
        <v>401</v>
      </c>
      <c r="C106" s="9"/>
      <c r="D106" s="9" t="s">
        <v>402</v>
      </c>
      <c r="E106" s="9" t="s">
        <v>372</v>
      </c>
      <c r="F106" s="9" t="s">
        <v>403</v>
      </c>
      <c r="G106" s="7">
        <v>3</v>
      </c>
      <c r="H106" s="9" t="s">
        <v>404</v>
      </c>
      <c r="I106" s="9">
        <f t="shared" si="2"/>
        <v>477</v>
      </c>
      <c r="J106" s="9">
        <f t="shared" si="3"/>
        <v>159</v>
      </c>
      <c r="K106" s="3" t="s">
        <v>1289</v>
      </c>
      <c r="L106" s="28" t="s">
        <v>32</v>
      </c>
      <c r="M106" s="28" t="s">
        <v>32</v>
      </c>
      <c r="N106" s="9" t="s">
        <v>32</v>
      </c>
      <c r="O106" s="9" t="s">
        <v>32</v>
      </c>
      <c r="P106" s="9" t="s">
        <v>32</v>
      </c>
      <c r="Q106" s="9" t="s">
        <v>32</v>
      </c>
      <c r="R106" s="9" t="s">
        <v>32</v>
      </c>
    </row>
    <row r="107" spans="1:18" ht="20.100000000000001" customHeight="1" x14ac:dyDescent="0.25">
      <c r="A107" s="7"/>
      <c r="B107" s="9" t="s">
        <v>405</v>
      </c>
      <c r="C107" s="9"/>
      <c r="D107" s="9" t="s">
        <v>402</v>
      </c>
      <c r="E107" s="9" t="s">
        <v>364</v>
      </c>
      <c r="F107" s="9" t="s">
        <v>406</v>
      </c>
      <c r="G107" s="7">
        <v>3</v>
      </c>
      <c r="H107" s="9" t="s">
        <v>32</v>
      </c>
      <c r="I107" s="9">
        <f t="shared" si="2"/>
        <v>447</v>
      </c>
      <c r="J107" s="9">
        <f t="shared" si="3"/>
        <v>149</v>
      </c>
      <c r="K107" s="28" t="s">
        <v>32</v>
      </c>
      <c r="L107" s="3" t="s">
        <v>1289</v>
      </c>
      <c r="M107" s="28" t="s">
        <v>32</v>
      </c>
      <c r="N107" s="9" t="s">
        <v>32</v>
      </c>
      <c r="O107" s="9" t="s">
        <v>32</v>
      </c>
      <c r="P107" s="9" t="s">
        <v>32</v>
      </c>
      <c r="Q107" s="9" t="s">
        <v>32</v>
      </c>
      <c r="R107" s="9" t="s">
        <v>32</v>
      </c>
    </row>
    <row r="108" spans="1:18" ht="20.100000000000001" customHeight="1" x14ac:dyDescent="0.25">
      <c r="A108" s="7"/>
      <c r="B108" s="9" t="s">
        <v>407</v>
      </c>
      <c r="C108" s="9"/>
      <c r="D108" s="9" t="s">
        <v>402</v>
      </c>
      <c r="E108" s="9" t="s">
        <v>399</v>
      </c>
      <c r="F108" s="9" t="s">
        <v>408</v>
      </c>
      <c r="G108" s="7">
        <v>3</v>
      </c>
      <c r="H108" s="9" t="s">
        <v>32</v>
      </c>
      <c r="I108" s="9">
        <f t="shared" si="2"/>
        <v>432</v>
      </c>
      <c r="J108" s="9">
        <f t="shared" si="3"/>
        <v>144</v>
      </c>
      <c r="K108" s="28" t="s">
        <v>32</v>
      </c>
      <c r="L108" s="28" t="s">
        <v>32</v>
      </c>
      <c r="M108" s="3" t="s">
        <v>1289</v>
      </c>
      <c r="N108" s="9" t="s">
        <v>32</v>
      </c>
      <c r="O108" s="9" t="s">
        <v>32</v>
      </c>
      <c r="P108" s="9" t="s">
        <v>32</v>
      </c>
      <c r="Q108" s="9" t="s">
        <v>32</v>
      </c>
      <c r="R108" s="9" t="s">
        <v>32</v>
      </c>
    </row>
    <row r="109" spans="1:18" ht="20.100000000000001" customHeight="1" x14ac:dyDescent="0.25">
      <c r="A109" s="8">
        <v>408</v>
      </c>
      <c r="B109" s="10" t="s">
        <v>409</v>
      </c>
      <c r="C109" s="10"/>
      <c r="D109" s="10" t="s">
        <v>410</v>
      </c>
      <c r="E109" s="10" t="s">
        <v>266</v>
      </c>
      <c r="F109" s="10" t="s">
        <v>411</v>
      </c>
      <c r="G109" s="8">
        <v>1</v>
      </c>
      <c r="H109" s="10" t="s">
        <v>412</v>
      </c>
      <c r="I109" s="10">
        <f t="shared" si="2"/>
        <v>159</v>
      </c>
      <c r="J109" s="10">
        <f t="shared" si="3"/>
        <v>159</v>
      </c>
      <c r="K109" s="30" t="s">
        <v>1289</v>
      </c>
      <c r="L109" s="29" t="s">
        <v>32</v>
      </c>
      <c r="M109" s="29" t="s">
        <v>32</v>
      </c>
      <c r="N109" s="10" t="s">
        <v>32</v>
      </c>
      <c r="O109" s="10" t="s">
        <v>32</v>
      </c>
      <c r="P109" s="10" t="s">
        <v>32</v>
      </c>
      <c r="Q109" s="10" t="s">
        <v>32</v>
      </c>
      <c r="R109" s="10" t="s">
        <v>32</v>
      </c>
    </row>
    <row r="110" spans="1:18" ht="20.100000000000001" customHeight="1" x14ac:dyDescent="0.25">
      <c r="A110" s="8"/>
      <c r="B110" s="10" t="s">
        <v>413</v>
      </c>
      <c r="C110" s="10"/>
      <c r="D110" s="10" t="s">
        <v>414</v>
      </c>
      <c r="E110" s="10" t="s">
        <v>415</v>
      </c>
      <c r="F110" s="10" t="s">
        <v>416</v>
      </c>
      <c r="G110" s="8">
        <v>1</v>
      </c>
      <c r="H110" s="10" t="s">
        <v>32</v>
      </c>
      <c r="I110" s="10">
        <f t="shared" si="2"/>
        <v>149</v>
      </c>
      <c r="J110" s="10">
        <f t="shared" si="3"/>
        <v>149</v>
      </c>
      <c r="K110" s="29" t="s">
        <v>32</v>
      </c>
      <c r="L110" s="30" t="s">
        <v>1289</v>
      </c>
      <c r="M110" s="29" t="s">
        <v>32</v>
      </c>
      <c r="N110" s="10" t="s">
        <v>32</v>
      </c>
      <c r="O110" s="10" t="s">
        <v>32</v>
      </c>
      <c r="P110" s="10" t="s">
        <v>32</v>
      </c>
      <c r="Q110" s="10" t="s">
        <v>32</v>
      </c>
      <c r="R110" s="10" t="s">
        <v>32</v>
      </c>
    </row>
    <row r="111" spans="1:18" ht="20.100000000000001" customHeight="1" x14ac:dyDescent="0.25">
      <c r="A111" s="8"/>
      <c r="B111" s="10" t="s">
        <v>417</v>
      </c>
      <c r="C111" s="10"/>
      <c r="D111" s="10" t="s">
        <v>418</v>
      </c>
      <c r="E111" s="10" t="s">
        <v>49</v>
      </c>
      <c r="F111" s="10" t="s">
        <v>419</v>
      </c>
      <c r="G111" s="8">
        <v>1</v>
      </c>
      <c r="H111" s="10" t="s">
        <v>32</v>
      </c>
      <c r="I111" s="10">
        <f t="shared" si="2"/>
        <v>144</v>
      </c>
      <c r="J111" s="10">
        <f t="shared" si="3"/>
        <v>144</v>
      </c>
      <c r="K111" s="29" t="s">
        <v>32</v>
      </c>
      <c r="L111" s="29" t="s">
        <v>32</v>
      </c>
      <c r="M111" s="30" t="s">
        <v>1289</v>
      </c>
      <c r="N111" s="10" t="s">
        <v>32</v>
      </c>
      <c r="O111" s="10" t="s">
        <v>32</v>
      </c>
      <c r="P111" s="10" t="s">
        <v>32</v>
      </c>
      <c r="Q111" s="10" t="s">
        <v>32</v>
      </c>
      <c r="R111" s="10" t="s">
        <v>32</v>
      </c>
    </row>
    <row r="112" spans="1:18" ht="20.100000000000001" customHeight="1" x14ac:dyDescent="0.25">
      <c r="A112" s="7">
        <v>422</v>
      </c>
      <c r="B112" s="9" t="s">
        <v>420</v>
      </c>
      <c r="C112" s="9"/>
      <c r="D112" s="9" t="s">
        <v>421</v>
      </c>
      <c r="E112" s="9" t="s">
        <v>81</v>
      </c>
      <c r="F112" s="9" t="s">
        <v>422</v>
      </c>
      <c r="G112" s="7">
        <v>3</v>
      </c>
      <c r="H112" s="9" t="s">
        <v>423</v>
      </c>
      <c r="I112" s="9">
        <f t="shared" si="2"/>
        <v>477</v>
      </c>
      <c r="J112" s="9">
        <f t="shared" si="3"/>
        <v>159</v>
      </c>
      <c r="K112" s="3" t="s">
        <v>1289</v>
      </c>
      <c r="L112" s="28" t="s">
        <v>32</v>
      </c>
      <c r="M112" s="28" t="s">
        <v>32</v>
      </c>
      <c r="N112" s="9" t="s">
        <v>32</v>
      </c>
      <c r="O112" s="9" t="s">
        <v>32</v>
      </c>
      <c r="P112" s="9" t="s">
        <v>32</v>
      </c>
      <c r="Q112" s="9" t="s">
        <v>32</v>
      </c>
      <c r="R112" s="9" t="s">
        <v>32</v>
      </c>
    </row>
    <row r="113" spans="1:18" ht="20.100000000000001" customHeight="1" x14ac:dyDescent="0.25">
      <c r="A113" s="7"/>
      <c r="B113" s="9" t="s">
        <v>424</v>
      </c>
      <c r="C113" s="9"/>
      <c r="D113" s="9" t="s">
        <v>425</v>
      </c>
      <c r="E113" s="9" t="s">
        <v>41</v>
      </c>
      <c r="F113" s="9" t="s">
        <v>426</v>
      </c>
      <c r="G113" s="7">
        <v>3</v>
      </c>
      <c r="H113" s="9" t="s">
        <v>32</v>
      </c>
      <c r="I113" s="9">
        <f t="shared" si="2"/>
        <v>447</v>
      </c>
      <c r="J113" s="9">
        <f t="shared" si="3"/>
        <v>149</v>
      </c>
      <c r="K113" s="28" t="s">
        <v>32</v>
      </c>
      <c r="L113" s="3" t="s">
        <v>1289</v>
      </c>
      <c r="M113" s="28" t="s">
        <v>32</v>
      </c>
      <c r="N113" s="9" t="s">
        <v>32</v>
      </c>
      <c r="O113" s="9" t="s">
        <v>32</v>
      </c>
      <c r="P113" s="9" t="s">
        <v>32</v>
      </c>
      <c r="Q113" s="9" t="s">
        <v>32</v>
      </c>
      <c r="R113" s="9" t="s">
        <v>32</v>
      </c>
    </row>
    <row r="114" spans="1:18" ht="20.100000000000001" customHeight="1" x14ac:dyDescent="0.25">
      <c r="A114" s="7"/>
      <c r="B114" s="9" t="s">
        <v>427</v>
      </c>
      <c r="C114" s="9"/>
      <c r="D114" s="9" t="s">
        <v>428</v>
      </c>
      <c r="E114" s="9" t="s">
        <v>429</v>
      </c>
      <c r="F114" s="9" t="s">
        <v>430</v>
      </c>
      <c r="G114" s="7">
        <v>3</v>
      </c>
      <c r="H114" s="9" t="s">
        <v>32</v>
      </c>
      <c r="I114" s="9">
        <f t="shared" si="2"/>
        <v>432</v>
      </c>
      <c r="J114" s="9">
        <f t="shared" si="3"/>
        <v>144</v>
      </c>
      <c r="K114" s="28" t="s">
        <v>32</v>
      </c>
      <c r="L114" s="28" t="s">
        <v>32</v>
      </c>
      <c r="M114" s="3" t="s">
        <v>1289</v>
      </c>
      <c r="N114" s="9" t="s">
        <v>32</v>
      </c>
      <c r="O114" s="9" t="s">
        <v>32</v>
      </c>
      <c r="P114" s="9" t="s">
        <v>32</v>
      </c>
      <c r="Q114" s="9" t="s">
        <v>32</v>
      </c>
      <c r="R114" s="9" t="s">
        <v>32</v>
      </c>
    </row>
    <row r="115" spans="1:18" ht="20.100000000000001" customHeight="1" x14ac:dyDescent="0.25">
      <c r="A115" s="8">
        <v>423</v>
      </c>
      <c r="B115" s="10" t="s">
        <v>431</v>
      </c>
      <c r="C115" s="10"/>
      <c r="D115" s="10" t="s">
        <v>432</v>
      </c>
      <c r="E115" s="10" t="s">
        <v>433</v>
      </c>
      <c r="F115" s="10" t="s">
        <v>434</v>
      </c>
      <c r="G115" s="8">
        <v>12</v>
      </c>
      <c r="H115" s="10" t="s">
        <v>435</v>
      </c>
      <c r="I115" s="10">
        <f t="shared" si="2"/>
        <v>3636</v>
      </c>
      <c r="J115" s="10">
        <f t="shared" si="3"/>
        <v>303</v>
      </c>
      <c r="K115" s="30" t="s">
        <v>1289</v>
      </c>
      <c r="L115" s="29" t="s">
        <v>32</v>
      </c>
      <c r="M115" s="30" t="s">
        <v>1289</v>
      </c>
      <c r="N115" s="10" t="s">
        <v>32</v>
      </c>
      <c r="O115" s="10" t="s">
        <v>32</v>
      </c>
      <c r="P115" s="10" t="s">
        <v>32</v>
      </c>
      <c r="Q115" s="10" t="s">
        <v>32</v>
      </c>
      <c r="R115" s="10" t="s">
        <v>32</v>
      </c>
    </row>
    <row r="116" spans="1:18" ht="20.100000000000001" customHeight="1" x14ac:dyDescent="0.25">
      <c r="A116" s="8"/>
      <c r="B116" s="10" t="s">
        <v>436</v>
      </c>
      <c r="C116" s="10"/>
      <c r="D116" s="10" t="s">
        <v>437</v>
      </c>
      <c r="E116" s="10" t="s">
        <v>266</v>
      </c>
      <c r="F116" s="10" t="s">
        <v>438</v>
      </c>
      <c r="G116" s="8">
        <v>12</v>
      </c>
      <c r="H116" s="10" t="s">
        <v>32</v>
      </c>
      <c r="I116" s="10">
        <f t="shared" si="2"/>
        <v>1788</v>
      </c>
      <c r="J116" s="10">
        <f t="shared" si="3"/>
        <v>149</v>
      </c>
      <c r="K116" s="29" t="s">
        <v>32</v>
      </c>
      <c r="L116" s="30" t="s">
        <v>1289</v>
      </c>
      <c r="M116" s="29" t="s">
        <v>32</v>
      </c>
      <c r="N116" s="10" t="s">
        <v>32</v>
      </c>
      <c r="O116" s="10" t="s">
        <v>32</v>
      </c>
      <c r="P116" s="10" t="s">
        <v>32</v>
      </c>
      <c r="Q116" s="10" t="s">
        <v>32</v>
      </c>
      <c r="R116" s="10" t="s">
        <v>32</v>
      </c>
    </row>
    <row r="117" spans="1:18" ht="20.100000000000001" customHeight="1" x14ac:dyDescent="0.25">
      <c r="A117" s="7">
        <v>424</v>
      </c>
      <c r="B117" s="9" t="s">
        <v>439</v>
      </c>
      <c r="C117" s="9"/>
      <c r="D117" s="9" t="s">
        <v>440</v>
      </c>
      <c r="E117" s="9" t="s">
        <v>49</v>
      </c>
      <c r="F117" s="9" t="s">
        <v>441</v>
      </c>
      <c r="G117" s="7">
        <v>3</v>
      </c>
      <c r="H117" s="9" t="s">
        <v>442</v>
      </c>
      <c r="I117" s="9">
        <f t="shared" si="2"/>
        <v>477</v>
      </c>
      <c r="J117" s="9">
        <f t="shared" si="3"/>
        <v>159</v>
      </c>
      <c r="K117" s="3" t="s">
        <v>1289</v>
      </c>
      <c r="L117" s="28" t="s">
        <v>32</v>
      </c>
      <c r="M117" s="28" t="s">
        <v>32</v>
      </c>
      <c r="N117" s="9" t="s">
        <v>32</v>
      </c>
      <c r="O117" s="9" t="s">
        <v>32</v>
      </c>
      <c r="P117" s="9" t="s">
        <v>32</v>
      </c>
      <c r="Q117" s="9" t="s">
        <v>32</v>
      </c>
      <c r="R117" s="9" t="s">
        <v>32</v>
      </c>
    </row>
    <row r="118" spans="1:18" ht="20.100000000000001" customHeight="1" x14ac:dyDescent="0.25">
      <c r="A118" s="7"/>
      <c r="B118" s="9" t="s">
        <v>443</v>
      </c>
      <c r="C118" s="9"/>
      <c r="D118" s="9" t="s">
        <v>440</v>
      </c>
      <c r="E118" s="9" t="s">
        <v>66</v>
      </c>
      <c r="F118" s="9" t="s">
        <v>444</v>
      </c>
      <c r="G118" s="7">
        <v>3</v>
      </c>
      <c r="H118" s="9" t="s">
        <v>32</v>
      </c>
      <c r="I118" s="9">
        <f t="shared" si="2"/>
        <v>447</v>
      </c>
      <c r="J118" s="9">
        <f t="shared" si="3"/>
        <v>149</v>
      </c>
      <c r="K118" s="28" t="s">
        <v>32</v>
      </c>
      <c r="L118" s="3" t="s">
        <v>1289</v>
      </c>
      <c r="M118" s="28" t="s">
        <v>32</v>
      </c>
      <c r="N118" s="9" t="s">
        <v>32</v>
      </c>
      <c r="O118" s="9" t="s">
        <v>32</v>
      </c>
      <c r="P118" s="9" t="s">
        <v>32</v>
      </c>
      <c r="Q118" s="9" t="s">
        <v>32</v>
      </c>
      <c r="R118" s="9" t="s">
        <v>32</v>
      </c>
    </row>
    <row r="119" spans="1:18" ht="20.100000000000001" customHeight="1" x14ac:dyDescent="0.25">
      <c r="A119" s="7"/>
      <c r="B119" s="9" t="s">
        <v>445</v>
      </c>
      <c r="C119" s="9"/>
      <c r="D119" s="9" t="s">
        <v>446</v>
      </c>
      <c r="E119" s="9" t="s">
        <v>262</v>
      </c>
      <c r="F119" s="9" t="s">
        <v>447</v>
      </c>
      <c r="G119" s="7">
        <v>3</v>
      </c>
      <c r="H119" s="9" t="s">
        <v>32</v>
      </c>
      <c r="I119" s="9">
        <f t="shared" si="2"/>
        <v>432</v>
      </c>
      <c r="J119" s="9">
        <f t="shared" si="3"/>
        <v>144</v>
      </c>
      <c r="K119" s="28" t="s">
        <v>32</v>
      </c>
      <c r="L119" s="28" t="s">
        <v>32</v>
      </c>
      <c r="M119" s="3" t="s">
        <v>1289</v>
      </c>
      <c r="N119" s="9" t="s">
        <v>32</v>
      </c>
      <c r="O119" s="9" t="s">
        <v>32</v>
      </c>
      <c r="P119" s="9" t="s">
        <v>32</v>
      </c>
      <c r="Q119" s="9" t="s">
        <v>32</v>
      </c>
      <c r="R119" s="9" t="s">
        <v>32</v>
      </c>
    </row>
    <row r="120" spans="1:18" ht="20.100000000000001" customHeight="1" x14ac:dyDescent="0.25">
      <c r="A120" s="8">
        <v>442</v>
      </c>
      <c r="B120" s="10" t="s">
        <v>448</v>
      </c>
      <c r="C120" s="10"/>
      <c r="D120" s="10" t="s">
        <v>449</v>
      </c>
      <c r="E120" s="10" t="s">
        <v>348</v>
      </c>
      <c r="F120" s="10" t="s">
        <v>450</v>
      </c>
      <c r="G120" s="8">
        <v>2</v>
      </c>
      <c r="H120" s="10" t="s">
        <v>451</v>
      </c>
      <c r="I120" s="10">
        <f t="shared" si="2"/>
        <v>318</v>
      </c>
      <c r="J120" s="10">
        <f t="shared" si="3"/>
        <v>159</v>
      </c>
      <c r="K120" s="30" t="s">
        <v>1289</v>
      </c>
      <c r="L120" s="29" t="s">
        <v>32</v>
      </c>
      <c r="M120" s="29" t="s">
        <v>32</v>
      </c>
      <c r="N120" s="10" t="s">
        <v>32</v>
      </c>
      <c r="O120" s="10" t="s">
        <v>32</v>
      </c>
      <c r="P120" s="10" t="s">
        <v>32</v>
      </c>
      <c r="Q120" s="10" t="s">
        <v>32</v>
      </c>
      <c r="R120" s="10" t="s">
        <v>32</v>
      </c>
    </row>
    <row r="121" spans="1:18" ht="20.100000000000001" customHeight="1" x14ac:dyDescent="0.25">
      <c r="A121" s="8"/>
      <c r="B121" s="10" t="s">
        <v>452</v>
      </c>
      <c r="C121" s="10"/>
      <c r="D121" s="10" t="s">
        <v>449</v>
      </c>
      <c r="E121" s="10" t="s">
        <v>355</v>
      </c>
      <c r="F121" s="10" t="s">
        <v>453</v>
      </c>
      <c r="G121" s="8">
        <v>2</v>
      </c>
      <c r="H121" s="10" t="s">
        <v>32</v>
      </c>
      <c r="I121" s="10">
        <f t="shared" si="2"/>
        <v>298</v>
      </c>
      <c r="J121" s="10">
        <f t="shared" si="3"/>
        <v>149</v>
      </c>
      <c r="K121" s="29" t="s">
        <v>32</v>
      </c>
      <c r="L121" s="30" t="s">
        <v>1289</v>
      </c>
      <c r="M121" s="29" t="s">
        <v>32</v>
      </c>
      <c r="N121" s="10" t="s">
        <v>32</v>
      </c>
      <c r="O121" s="10" t="s">
        <v>32</v>
      </c>
      <c r="P121" s="10" t="s">
        <v>32</v>
      </c>
      <c r="Q121" s="10" t="s">
        <v>32</v>
      </c>
      <c r="R121" s="10" t="s">
        <v>32</v>
      </c>
    </row>
    <row r="122" spans="1:18" ht="20.100000000000001" customHeight="1" x14ac:dyDescent="0.25">
      <c r="A122" s="8"/>
      <c r="B122" s="10" t="s">
        <v>454</v>
      </c>
      <c r="C122" s="10"/>
      <c r="D122" s="10" t="s">
        <v>449</v>
      </c>
      <c r="E122" s="10" t="s">
        <v>352</v>
      </c>
      <c r="F122" s="10" t="s">
        <v>455</v>
      </c>
      <c r="G122" s="8">
        <v>2</v>
      </c>
      <c r="H122" s="10" t="s">
        <v>32</v>
      </c>
      <c r="I122" s="10">
        <f t="shared" si="2"/>
        <v>288</v>
      </c>
      <c r="J122" s="10">
        <f t="shared" si="3"/>
        <v>144</v>
      </c>
      <c r="K122" s="29" t="s">
        <v>32</v>
      </c>
      <c r="L122" s="29" t="s">
        <v>32</v>
      </c>
      <c r="M122" s="30" t="s">
        <v>1289</v>
      </c>
      <c r="N122" s="10" t="s">
        <v>32</v>
      </c>
      <c r="O122" s="10" t="s">
        <v>32</v>
      </c>
      <c r="P122" s="10" t="s">
        <v>32</v>
      </c>
      <c r="Q122" s="10" t="s">
        <v>32</v>
      </c>
      <c r="R122" s="10" t="s">
        <v>32</v>
      </c>
    </row>
    <row r="123" spans="1:18" ht="20.100000000000001" customHeight="1" x14ac:dyDescent="0.25">
      <c r="A123" s="43">
        <v>443</v>
      </c>
      <c r="B123" s="44" t="s">
        <v>456</v>
      </c>
      <c r="C123" s="44"/>
      <c r="D123" s="44" t="s">
        <v>457</v>
      </c>
      <c r="E123" s="44" t="s">
        <v>458</v>
      </c>
      <c r="F123" s="44" t="s">
        <v>459</v>
      </c>
      <c r="G123" s="43">
        <v>1</v>
      </c>
      <c r="H123" s="44" t="s">
        <v>460</v>
      </c>
      <c r="I123" s="44">
        <f t="shared" si="2"/>
        <v>159</v>
      </c>
      <c r="J123" s="44">
        <f t="shared" si="3"/>
        <v>159</v>
      </c>
      <c r="K123" s="45" t="s">
        <v>1289</v>
      </c>
      <c r="L123" s="46"/>
      <c r="M123" s="46"/>
      <c r="N123" s="9" t="s">
        <v>32</v>
      </c>
      <c r="O123" s="9" t="s">
        <v>32</v>
      </c>
      <c r="P123" s="9" t="s">
        <v>32</v>
      </c>
      <c r="Q123" s="9" t="s">
        <v>32</v>
      </c>
      <c r="R123" s="9" t="s">
        <v>32</v>
      </c>
    </row>
    <row r="124" spans="1:18" ht="20.100000000000001" customHeight="1" x14ac:dyDescent="0.25">
      <c r="A124" s="43"/>
      <c r="B124" s="44" t="s">
        <v>461</v>
      </c>
      <c r="C124" s="44"/>
      <c r="D124" s="44" t="s">
        <v>462</v>
      </c>
      <c r="E124" s="44" t="s">
        <v>463</v>
      </c>
      <c r="F124" s="44" t="s">
        <v>464</v>
      </c>
      <c r="G124" s="43">
        <v>1</v>
      </c>
      <c r="H124" s="44" t="s">
        <v>32</v>
      </c>
      <c r="I124" s="44">
        <f t="shared" si="2"/>
        <v>0</v>
      </c>
      <c r="J124" s="44">
        <f t="shared" si="3"/>
        <v>0</v>
      </c>
      <c r="K124" s="46"/>
      <c r="L124" s="45"/>
      <c r="M124" s="46"/>
      <c r="N124" s="9" t="s">
        <v>32</v>
      </c>
      <c r="O124" s="9" t="s">
        <v>32</v>
      </c>
      <c r="P124" s="9" t="s">
        <v>32</v>
      </c>
      <c r="Q124" s="9" t="s">
        <v>32</v>
      </c>
      <c r="R124" s="9" t="s">
        <v>32</v>
      </c>
    </row>
    <row r="125" spans="1:18" ht="20.100000000000001" customHeight="1" x14ac:dyDescent="0.25">
      <c r="A125" s="43"/>
      <c r="B125" s="44" t="s">
        <v>465</v>
      </c>
      <c r="C125" s="44"/>
      <c r="D125" s="44" t="s">
        <v>466</v>
      </c>
      <c r="E125" s="44" t="s">
        <v>467</v>
      </c>
      <c r="F125" s="44" t="s">
        <v>468</v>
      </c>
      <c r="G125" s="43">
        <v>1</v>
      </c>
      <c r="H125" s="44" t="s">
        <v>32</v>
      </c>
      <c r="I125" s="44">
        <f t="shared" si="2"/>
        <v>144</v>
      </c>
      <c r="J125" s="44">
        <f t="shared" si="3"/>
        <v>144</v>
      </c>
      <c r="K125" s="46"/>
      <c r="L125" s="46"/>
      <c r="M125" s="45" t="s">
        <v>1289</v>
      </c>
      <c r="N125" s="9" t="s">
        <v>32</v>
      </c>
      <c r="O125" s="9" t="s">
        <v>32</v>
      </c>
      <c r="P125" s="9" t="s">
        <v>32</v>
      </c>
      <c r="Q125" s="9" t="s">
        <v>32</v>
      </c>
      <c r="R125" s="9" t="s">
        <v>32</v>
      </c>
    </row>
    <row r="126" spans="1:18" ht="20.100000000000001" customHeight="1" x14ac:dyDescent="0.25">
      <c r="A126" s="43"/>
      <c r="B126" s="44" t="s">
        <v>469</v>
      </c>
      <c r="C126" s="44"/>
      <c r="D126" s="44" t="s">
        <v>462</v>
      </c>
      <c r="E126" s="44" t="s">
        <v>470</v>
      </c>
      <c r="F126" s="44" t="s">
        <v>471</v>
      </c>
      <c r="G126" s="43">
        <v>1</v>
      </c>
      <c r="H126" s="44" t="s">
        <v>32</v>
      </c>
      <c r="I126" s="44">
        <f t="shared" si="2"/>
        <v>149</v>
      </c>
      <c r="J126" s="44">
        <f t="shared" si="3"/>
        <v>149</v>
      </c>
      <c r="K126" s="46" t="s">
        <v>32</v>
      </c>
      <c r="L126" s="45" t="s">
        <v>1289</v>
      </c>
      <c r="M126" s="46" t="s">
        <v>32</v>
      </c>
      <c r="N126" s="9" t="s">
        <v>32</v>
      </c>
      <c r="O126" s="9" t="s">
        <v>32</v>
      </c>
      <c r="P126" s="9" t="s">
        <v>32</v>
      </c>
      <c r="Q126" s="9" t="s">
        <v>32</v>
      </c>
      <c r="R126" s="9" t="s">
        <v>32</v>
      </c>
    </row>
    <row r="127" spans="1:18" ht="20.100000000000001" customHeight="1" x14ac:dyDescent="0.25">
      <c r="A127" s="8">
        <v>447</v>
      </c>
      <c r="B127" s="10" t="s">
        <v>472</v>
      </c>
      <c r="C127" s="10"/>
      <c r="D127" s="10" t="s">
        <v>473</v>
      </c>
      <c r="E127" s="10" t="s">
        <v>474</v>
      </c>
      <c r="F127" s="10" t="s">
        <v>475</v>
      </c>
      <c r="G127" s="8">
        <v>2</v>
      </c>
      <c r="H127" s="26" t="s">
        <v>1291</v>
      </c>
      <c r="I127" s="10">
        <f t="shared" si="2"/>
        <v>318</v>
      </c>
      <c r="J127" s="10">
        <f t="shared" si="3"/>
        <v>159</v>
      </c>
      <c r="K127" s="30" t="s">
        <v>1289</v>
      </c>
      <c r="L127" s="29" t="s">
        <v>32</v>
      </c>
      <c r="M127" s="29" t="s">
        <v>32</v>
      </c>
      <c r="N127" s="10" t="s">
        <v>32</v>
      </c>
      <c r="O127" s="10" t="s">
        <v>32</v>
      </c>
      <c r="P127" s="10" t="s">
        <v>32</v>
      </c>
      <c r="Q127" s="10" t="s">
        <v>32</v>
      </c>
      <c r="R127" s="10" t="s">
        <v>32</v>
      </c>
    </row>
    <row r="128" spans="1:18" ht="20.100000000000001" customHeight="1" x14ac:dyDescent="0.25">
      <c r="A128" s="8"/>
      <c r="B128" s="10" t="s">
        <v>476</v>
      </c>
      <c r="C128" s="10"/>
      <c r="D128" s="10" t="s">
        <v>477</v>
      </c>
      <c r="E128" s="10" t="s">
        <v>433</v>
      </c>
      <c r="F128" s="10" t="s">
        <v>478</v>
      </c>
      <c r="G128" s="8">
        <v>2</v>
      </c>
      <c r="H128" s="10" t="s">
        <v>32</v>
      </c>
      <c r="I128" s="10">
        <f t="shared" si="2"/>
        <v>586</v>
      </c>
      <c r="J128" s="10">
        <f t="shared" si="3"/>
        <v>293</v>
      </c>
      <c r="K128" s="29" t="s">
        <v>32</v>
      </c>
      <c r="L128" s="30" t="s">
        <v>1289</v>
      </c>
      <c r="M128" s="30" t="s">
        <v>1289</v>
      </c>
      <c r="N128" s="10" t="s">
        <v>32</v>
      </c>
      <c r="O128" s="10" t="s">
        <v>32</v>
      </c>
      <c r="P128" s="10" t="s">
        <v>32</v>
      </c>
      <c r="Q128" s="10" t="s">
        <v>32</v>
      </c>
      <c r="R128" s="10" t="s">
        <v>32</v>
      </c>
    </row>
    <row r="129" spans="1:18" ht="20.100000000000001" customHeight="1" x14ac:dyDescent="0.25">
      <c r="A129" s="7">
        <v>451</v>
      </c>
      <c r="B129" s="9" t="s">
        <v>479</v>
      </c>
      <c r="C129" s="9"/>
      <c r="D129" s="9" t="s">
        <v>480</v>
      </c>
      <c r="E129" s="9" t="s">
        <v>474</v>
      </c>
      <c r="F129" s="9" t="s">
        <v>481</v>
      </c>
      <c r="G129" s="7">
        <v>3</v>
      </c>
      <c r="H129" s="25" t="s">
        <v>1292</v>
      </c>
      <c r="I129" s="9">
        <f t="shared" si="2"/>
        <v>477</v>
      </c>
      <c r="J129" s="9">
        <f t="shared" si="3"/>
        <v>159</v>
      </c>
      <c r="K129" s="3" t="s">
        <v>1289</v>
      </c>
      <c r="L129" s="28" t="s">
        <v>32</v>
      </c>
      <c r="M129" s="28" t="s">
        <v>32</v>
      </c>
      <c r="N129" s="9" t="s">
        <v>32</v>
      </c>
      <c r="O129" s="9" t="s">
        <v>32</v>
      </c>
      <c r="P129" s="9" t="s">
        <v>32</v>
      </c>
      <c r="Q129" s="9" t="s">
        <v>32</v>
      </c>
      <c r="R129" s="9" t="s">
        <v>32</v>
      </c>
    </row>
    <row r="130" spans="1:18" ht="20.100000000000001" customHeight="1" x14ac:dyDescent="0.25">
      <c r="A130" s="7"/>
      <c r="B130" s="9" t="s">
        <v>482</v>
      </c>
      <c r="C130" s="9"/>
      <c r="D130" s="9" t="s">
        <v>483</v>
      </c>
      <c r="E130" s="9" t="s">
        <v>433</v>
      </c>
      <c r="F130" s="9" t="s">
        <v>484</v>
      </c>
      <c r="G130" s="7">
        <v>3</v>
      </c>
      <c r="H130" s="9" t="s">
        <v>32</v>
      </c>
      <c r="I130" s="9">
        <f t="shared" si="2"/>
        <v>879</v>
      </c>
      <c r="J130" s="9">
        <f t="shared" si="3"/>
        <v>293</v>
      </c>
      <c r="K130" s="28" t="s">
        <v>32</v>
      </c>
      <c r="L130" s="3" t="s">
        <v>1289</v>
      </c>
      <c r="M130" s="3" t="s">
        <v>1289</v>
      </c>
      <c r="N130" s="9" t="s">
        <v>32</v>
      </c>
      <c r="O130" s="9" t="s">
        <v>32</v>
      </c>
      <c r="P130" s="9" t="s">
        <v>32</v>
      </c>
      <c r="Q130" s="9" t="s">
        <v>32</v>
      </c>
      <c r="R130" s="9" t="s">
        <v>32</v>
      </c>
    </row>
    <row r="131" spans="1:18" ht="20.100000000000001" customHeight="1" x14ac:dyDescent="0.25">
      <c r="A131" s="8">
        <v>608</v>
      </c>
      <c r="B131" s="10" t="s">
        <v>485</v>
      </c>
      <c r="C131" s="10"/>
      <c r="D131" s="10" t="s">
        <v>486</v>
      </c>
      <c r="E131" s="10" t="s">
        <v>85</v>
      </c>
      <c r="F131" s="10" t="s">
        <v>487</v>
      </c>
      <c r="G131" s="8">
        <v>1</v>
      </c>
      <c r="H131" s="26" t="s">
        <v>1301</v>
      </c>
      <c r="I131" s="10">
        <f t="shared" si="2"/>
        <v>159</v>
      </c>
      <c r="J131" s="10">
        <f t="shared" si="3"/>
        <v>159</v>
      </c>
      <c r="K131" s="30" t="s">
        <v>1289</v>
      </c>
      <c r="L131" s="29" t="s">
        <v>32</v>
      </c>
      <c r="M131" s="29" t="s">
        <v>32</v>
      </c>
      <c r="N131" s="10" t="s">
        <v>32</v>
      </c>
      <c r="O131" s="10" t="s">
        <v>32</v>
      </c>
      <c r="P131" s="10" t="s">
        <v>32</v>
      </c>
      <c r="Q131" s="10" t="s">
        <v>32</v>
      </c>
      <c r="R131" s="10" t="s">
        <v>32</v>
      </c>
    </row>
    <row r="132" spans="1:18" ht="20.100000000000001" customHeight="1" x14ac:dyDescent="0.25">
      <c r="A132" s="8"/>
      <c r="B132" s="10" t="s">
        <v>488</v>
      </c>
      <c r="C132" s="10"/>
      <c r="D132" s="10" t="s">
        <v>489</v>
      </c>
      <c r="E132" s="10" t="s">
        <v>146</v>
      </c>
      <c r="F132" s="10" t="s">
        <v>490</v>
      </c>
      <c r="G132" s="8">
        <v>1</v>
      </c>
      <c r="H132" s="10" t="s">
        <v>32</v>
      </c>
      <c r="I132" s="10">
        <f t="shared" si="2"/>
        <v>144</v>
      </c>
      <c r="J132" s="10">
        <f t="shared" si="3"/>
        <v>144</v>
      </c>
      <c r="K132" s="29" t="s">
        <v>32</v>
      </c>
      <c r="L132" s="29" t="s">
        <v>32</v>
      </c>
      <c r="M132" s="30" t="s">
        <v>1289</v>
      </c>
      <c r="N132" s="10" t="s">
        <v>32</v>
      </c>
      <c r="O132" s="10" t="s">
        <v>32</v>
      </c>
      <c r="P132" s="10" t="s">
        <v>32</v>
      </c>
      <c r="Q132" s="10" t="s">
        <v>32</v>
      </c>
      <c r="R132" s="10" t="s">
        <v>32</v>
      </c>
    </row>
    <row r="133" spans="1:18" ht="20.100000000000001" customHeight="1" x14ac:dyDescent="0.25">
      <c r="A133" s="8"/>
      <c r="B133" s="10" t="s">
        <v>491</v>
      </c>
      <c r="C133" s="10"/>
      <c r="D133" s="10" t="s">
        <v>486</v>
      </c>
      <c r="E133" s="10" t="s">
        <v>93</v>
      </c>
      <c r="F133" s="10" t="s">
        <v>492</v>
      </c>
      <c r="G133" s="8">
        <v>1</v>
      </c>
      <c r="H133" s="10" t="s">
        <v>32</v>
      </c>
      <c r="I133" s="10">
        <f t="shared" si="2"/>
        <v>149</v>
      </c>
      <c r="J133" s="10">
        <f t="shared" si="3"/>
        <v>149</v>
      </c>
      <c r="K133" s="29" t="s">
        <v>32</v>
      </c>
      <c r="L133" s="30" t="s">
        <v>1289</v>
      </c>
      <c r="M133" s="29" t="s">
        <v>32</v>
      </c>
      <c r="N133" s="10" t="s">
        <v>32</v>
      </c>
      <c r="O133" s="10" t="s">
        <v>32</v>
      </c>
      <c r="P133" s="10" t="s">
        <v>32</v>
      </c>
      <c r="Q133" s="10" t="s">
        <v>32</v>
      </c>
      <c r="R133" s="10" t="s">
        <v>32</v>
      </c>
    </row>
    <row r="134" spans="1:18" ht="20.100000000000001" customHeight="1" x14ac:dyDescent="0.25">
      <c r="A134" s="7">
        <v>610</v>
      </c>
      <c r="B134" s="9" t="s">
        <v>493</v>
      </c>
      <c r="C134" s="9"/>
      <c r="D134" s="9" t="s">
        <v>494</v>
      </c>
      <c r="E134" s="9" t="s">
        <v>70</v>
      </c>
      <c r="F134" s="9" t="s">
        <v>495</v>
      </c>
      <c r="G134" s="7">
        <v>11</v>
      </c>
      <c r="H134" s="25" t="s">
        <v>1302</v>
      </c>
      <c r="I134" s="9">
        <f t="shared" ref="I134:I197" si="4">G134*J134</f>
        <v>1749</v>
      </c>
      <c r="J134" s="9">
        <f t="shared" ref="J134:J197" si="5">IF(EXACT(K134,"V"),$K$5,0)+IF(EXACT(L134,"V"),$L$5,0)+IF(EXACT(M134,"V"),$M$5,0)+IF(EXACT(N134,"V"),$N$5,0)+IF(EXACT(O134,"V"),$O$5,0)+IF(EXACT(P134,"V"),$P$5,0)+IF(EXACT(Q134,"V"),$Q$5,0)</f>
        <v>159</v>
      </c>
      <c r="K134" s="3" t="s">
        <v>1289</v>
      </c>
      <c r="L134" s="28" t="s">
        <v>32</v>
      </c>
      <c r="M134" s="28" t="s">
        <v>32</v>
      </c>
      <c r="N134" s="9" t="s">
        <v>32</v>
      </c>
      <c r="O134" s="9" t="s">
        <v>32</v>
      </c>
      <c r="P134" s="9" t="s">
        <v>32</v>
      </c>
      <c r="Q134" s="9" t="s">
        <v>32</v>
      </c>
      <c r="R134" s="9" t="s">
        <v>32</v>
      </c>
    </row>
    <row r="135" spans="1:18" ht="20.100000000000001" customHeight="1" x14ac:dyDescent="0.25">
      <c r="A135" s="7"/>
      <c r="B135" s="9" t="s">
        <v>496</v>
      </c>
      <c r="C135" s="9"/>
      <c r="D135" s="9" t="s">
        <v>497</v>
      </c>
      <c r="E135" s="9" t="s">
        <v>66</v>
      </c>
      <c r="F135" s="9" t="s">
        <v>498</v>
      </c>
      <c r="G135" s="7">
        <v>11</v>
      </c>
      <c r="H135" s="9" t="s">
        <v>32</v>
      </c>
      <c r="I135" s="9">
        <f t="shared" si="4"/>
        <v>1584</v>
      </c>
      <c r="J135" s="9">
        <f t="shared" si="5"/>
        <v>144</v>
      </c>
      <c r="K135" s="28" t="s">
        <v>32</v>
      </c>
      <c r="L135" s="28" t="s">
        <v>32</v>
      </c>
      <c r="M135" s="3" t="s">
        <v>1289</v>
      </c>
      <c r="N135" s="9" t="s">
        <v>32</v>
      </c>
      <c r="O135" s="9" t="s">
        <v>32</v>
      </c>
      <c r="P135" s="9" t="s">
        <v>32</v>
      </c>
      <c r="Q135" s="9" t="s">
        <v>32</v>
      </c>
      <c r="R135" s="9" t="s">
        <v>32</v>
      </c>
    </row>
    <row r="136" spans="1:18" ht="20.100000000000001" customHeight="1" x14ac:dyDescent="0.25">
      <c r="A136" s="7"/>
      <c r="B136" s="9" t="s">
        <v>499</v>
      </c>
      <c r="C136" s="9"/>
      <c r="D136" s="9" t="s">
        <v>500</v>
      </c>
      <c r="E136" s="9" t="s">
        <v>49</v>
      </c>
      <c r="F136" s="9" t="s">
        <v>501</v>
      </c>
      <c r="G136" s="7">
        <v>11</v>
      </c>
      <c r="H136" s="9" t="s">
        <v>32</v>
      </c>
      <c r="I136" s="9">
        <f t="shared" si="4"/>
        <v>1639</v>
      </c>
      <c r="J136" s="9">
        <f t="shared" si="5"/>
        <v>149</v>
      </c>
      <c r="K136" s="28" t="s">
        <v>32</v>
      </c>
      <c r="L136" s="3" t="s">
        <v>1289</v>
      </c>
      <c r="M136" s="28" t="s">
        <v>32</v>
      </c>
      <c r="N136" s="9" t="s">
        <v>32</v>
      </c>
      <c r="O136" s="9" t="s">
        <v>32</v>
      </c>
      <c r="P136" s="9" t="s">
        <v>32</v>
      </c>
      <c r="Q136" s="9" t="s">
        <v>32</v>
      </c>
      <c r="R136" s="9" t="s">
        <v>32</v>
      </c>
    </row>
    <row r="137" spans="1:18" ht="20.100000000000001" customHeight="1" x14ac:dyDescent="0.25">
      <c r="A137" s="8">
        <v>611</v>
      </c>
      <c r="B137" s="10" t="s">
        <v>502</v>
      </c>
      <c r="C137" s="10"/>
      <c r="D137" s="10" t="s">
        <v>503</v>
      </c>
      <c r="E137" s="10" t="s">
        <v>70</v>
      </c>
      <c r="F137" s="10" t="s">
        <v>504</v>
      </c>
      <c r="G137" s="8">
        <v>5</v>
      </c>
      <c r="H137" s="10" t="s">
        <v>505</v>
      </c>
      <c r="I137" s="10">
        <f t="shared" si="4"/>
        <v>795</v>
      </c>
      <c r="J137" s="10">
        <f t="shared" si="5"/>
        <v>159</v>
      </c>
      <c r="K137" s="30" t="s">
        <v>1289</v>
      </c>
      <c r="L137" s="29" t="s">
        <v>32</v>
      </c>
      <c r="M137" s="29" t="s">
        <v>32</v>
      </c>
      <c r="N137" s="10" t="s">
        <v>32</v>
      </c>
      <c r="O137" s="10" t="s">
        <v>32</v>
      </c>
      <c r="P137" s="10" t="s">
        <v>32</v>
      </c>
      <c r="Q137" s="10" t="s">
        <v>32</v>
      </c>
      <c r="R137" s="10" t="s">
        <v>32</v>
      </c>
    </row>
    <row r="138" spans="1:18" ht="20.100000000000001" customHeight="1" x14ac:dyDescent="0.25">
      <c r="A138" s="8"/>
      <c r="B138" s="10" t="s">
        <v>506</v>
      </c>
      <c r="C138" s="10"/>
      <c r="D138" s="10" t="s">
        <v>507</v>
      </c>
      <c r="E138" s="10" t="s">
        <v>49</v>
      </c>
      <c r="F138" s="10" t="s">
        <v>508</v>
      </c>
      <c r="G138" s="8">
        <v>5</v>
      </c>
      <c r="H138" s="10" t="s">
        <v>32</v>
      </c>
      <c r="I138" s="10">
        <f t="shared" si="4"/>
        <v>745</v>
      </c>
      <c r="J138" s="10">
        <f t="shared" si="5"/>
        <v>149</v>
      </c>
      <c r="K138" s="29" t="s">
        <v>32</v>
      </c>
      <c r="L138" s="30" t="s">
        <v>1289</v>
      </c>
      <c r="M138" s="29" t="s">
        <v>32</v>
      </c>
      <c r="N138" s="10" t="s">
        <v>32</v>
      </c>
      <c r="O138" s="10" t="s">
        <v>32</v>
      </c>
      <c r="P138" s="10" t="s">
        <v>32</v>
      </c>
      <c r="Q138" s="10" t="s">
        <v>32</v>
      </c>
      <c r="R138" s="10" t="s">
        <v>32</v>
      </c>
    </row>
    <row r="139" spans="1:18" ht="20.100000000000001" customHeight="1" x14ac:dyDescent="0.25">
      <c r="A139" s="8"/>
      <c r="B139" s="10" t="s">
        <v>509</v>
      </c>
      <c r="C139" s="10"/>
      <c r="D139" s="10" t="s">
        <v>510</v>
      </c>
      <c r="E139" s="10" t="s">
        <v>66</v>
      </c>
      <c r="F139" s="10" t="s">
        <v>511</v>
      </c>
      <c r="G139" s="8">
        <v>5</v>
      </c>
      <c r="H139" s="10" t="s">
        <v>32</v>
      </c>
      <c r="I139" s="10">
        <f t="shared" si="4"/>
        <v>720</v>
      </c>
      <c r="J139" s="10">
        <f t="shared" si="5"/>
        <v>144</v>
      </c>
      <c r="K139" s="29" t="s">
        <v>32</v>
      </c>
      <c r="L139" s="29" t="s">
        <v>32</v>
      </c>
      <c r="M139" s="30" t="s">
        <v>1289</v>
      </c>
      <c r="N139" s="10" t="s">
        <v>32</v>
      </c>
      <c r="O139" s="10" t="s">
        <v>32</v>
      </c>
      <c r="P139" s="10" t="s">
        <v>32</v>
      </c>
      <c r="Q139" s="10" t="s">
        <v>32</v>
      </c>
      <c r="R139" s="10" t="s">
        <v>32</v>
      </c>
    </row>
    <row r="140" spans="1:18" ht="20.100000000000001" customHeight="1" x14ac:dyDescent="0.25">
      <c r="A140" s="7">
        <v>615</v>
      </c>
      <c r="B140" s="9" t="s">
        <v>512</v>
      </c>
      <c r="C140" s="9"/>
      <c r="D140" s="9" t="s">
        <v>513</v>
      </c>
      <c r="E140" s="9" t="s">
        <v>70</v>
      </c>
      <c r="F140" s="9" t="s">
        <v>514</v>
      </c>
      <c r="G140" s="7">
        <v>2</v>
      </c>
      <c r="H140" s="9" t="s">
        <v>515</v>
      </c>
      <c r="I140" s="9">
        <f t="shared" si="4"/>
        <v>318</v>
      </c>
      <c r="J140" s="9">
        <f t="shared" si="5"/>
        <v>159</v>
      </c>
      <c r="K140" s="3" t="s">
        <v>1289</v>
      </c>
      <c r="L140" s="28" t="s">
        <v>32</v>
      </c>
      <c r="M140" s="28" t="s">
        <v>32</v>
      </c>
      <c r="N140" s="9" t="s">
        <v>32</v>
      </c>
      <c r="O140" s="9" t="s">
        <v>32</v>
      </c>
      <c r="P140" s="9" t="s">
        <v>32</v>
      </c>
      <c r="Q140" s="9" t="s">
        <v>32</v>
      </c>
      <c r="R140" s="9" t="s">
        <v>32</v>
      </c>
    </row>
    <row r="141" spans="1:18" ht="20.100000000000001" customHeight="1" x14ac:dyDescent="0.25">
      <c r="A141" s="7"/>
      <c r="B141" s="9" t="s">
        <v>516</v>
      </c>
      <c r="C141" s="9"/>
      <c r="D141" s="9" t="s">
        <v>517</v>
      </c>
      <c r="E141" s="9" t="s">
        <v>49</v>
      </c>
      <c r="F141" s="9" t="s">
        <v>518</v>
      </c>
      <c r="G141" s="7">
        <v>2</v>
      </c>
      <c r="H141" s="9" t="s">
        <v>32</v>
      </c>
      <c r="I141" s="9">
        <f t="shared" si="4"/>
        <v>298</v>
      </c>
      <c r="J141" s="9">
        <f t="shared" si="5"/>
        <v>149</v>
      </c>
      <c r="K141" s="28" t="s">
        <v>32</v>
      </c>
      <c r="L141" s="3" t="s">
        <v>1289</v>
      </c>
      <c r="M141" s="28" t="s">
        <v>32</v>
      </c>
      <c r="N141" s="9" t="s">
        <v>32</v>
      </c>
      <c r="O141" s="9" t="s">
        <v>32</v>
      </c>
      <c r="P141" s="9" t="s">
        <v>32</v>
      </c>
      <c r="Q141" s="9" t="s">
        <v>32</v>
      </c>
      <c r="R141" s="9" t="s">
        <v>32</v>
      </c>
    </row>
    <row r="142" spans="1:18" ht="20.100000000000001" customHeight="1" x14ac:dyDescent="0.25">
      <c r="A142" s="7"/>
      <c r="B142" s="9" t="s">
        <v>519</v>
      </c>
      <c r="C142" s="9"/>
      <c r="D142" s="9" t="s">
        <v>517</v>
      </c>
      <c r="E142" s="9" t="s">
        <v>66</v>
      </c>
      <c r="F142" s="9" t="s">
        <v>520</v>
      </c>
      <c r="G142" s="7">
        <v>2</v>
      </c>
      <c r="H142" s="9" t="s">
        <v>32</v>
      </c>
      <c r="I142" s="9">
        <f t="shared" si="4"/>
        <v>288</v>
      </c>
      <c r="J142" s="9">
        <f t="shared" si="5"/>
        <v>144</v>
      </c>
      <c r="K142" s="28" t="s">
        <v>32</v>
      </c>
      <c r="L142" s="28" t="s">
        <v>32</v>
      </c>
      <c r="M142" s="3" t="s">
        <v>1289</v>
      </c>
      <c r="N142" s="9" t="s">
        <v>32</v>
      </c>
      <c r="O142" s="9" t="s">
        <v>32</v>
      </c>
      <c r="P142" s="9" t="s">
        <v>32</v>
      </c>
      <c r="Q142" s="9" t="s">
        <v>32</v>
      </c>
      <c r="R142" s="9" t="s">
        <v>32</v>
      </c>
    </row>
    <row r="143" spans="1:18" ht="20.100000000000001" customHeight="1" x14ac:dyDescent="0.25">
      <c r="A143" s="8">
        <v>632</v>
      </c>
      <c r="B143" s="10" t="s">
        <v>521</v>
      </c>
      <c r="C143" s="10"/>
      <c r="D143" s="10" t="s">
        <v>522</v>
      </c>
      <c r="E143" s="10" t="s">
        <v>262</v>
      </c>
      <c r="F143" s="10" t="s">
        <v>523</v>
      </c>
      <c r="G143" s="8">
        <v>8</v>
      </c>
      <c r="H143" s="26" t="s">
        <v>1298</v>
      </c>
      <c r="I143" s="10">
        <f t="shared" si="4"/>
        <v>1272</v>
      </c>
      <c r="J143" s="10">
        <f t="shared" si="5"/>
        <v>159</v>
      </c>
      <c r="K143" s="30" t="s">
        <v>1289</v>
      </c>
      <c r="L143" s="29" t="s">
        <v>32</v>
      </c>
      <c r="M143" s="29" t="s">
        <v>32</v>
      </c>
      <c r="N143" s="10" t="s">
        <v>32</v>
      </c>
      <c r="O143" s="10" t="s">
        <v>32</v>
      </c>
      <c r="P143" s="10" t="s">
        <v>32</v>
      </c>
      <c r="Q143" s="10" t="s">
        <v>32</v>
      </c>
      <c r="R143" s="10" t="s">
        <v>32</v>
      </c>
    </row>
    <row r="144" spans="1:18" ht="20.100000000000001" customHeight="1" x14ac:dyDescent="0.25">
      <c r="A144" s="8"/>
      <c r="B144" s="10" t="s">
        <v>524</v>
      </c>
      <c r="C144" s="10"/>
      <c r="D144" s="10" t="s">
        <v>522</v>
      </c>
      <c r="E144" s="10" t="s">
        <v>525</v>
      </c>
      <c r="F144" s="10" t="s">
        <v>526</v>
      </c>
      <c r="G144" s="8">
        <v>8</v>
      </c>
      <c r="H144" s="10" t="s">
        <v>32</v>
      </c>
      <c r="I144" s="10">
        <f t="shared" si="4"/>
        <v>1192</v>
      </c>
      <c r="J144" s="10">
        <f t="shared" si="5"/>
        <v>149</v>
      </c>
      <c r="K144" s="29" t="s">
        <v>32</v>
      </c>
      <c r="L144" s="30" t="s">
        <v>1289</v>
      </c>
      <c r="M144" s="29" t="s">
        <v>32</v>
      </c>
      <c r="N144" s="10" t="s">
        <v>32</v>
      </c>
      <c r="O144" s="10" t="s">
        <v>32</v>
      </c>
      <c r="P144" s="10" t="s">
        <v>32</v>
      </c>
      <c r="Q144" s="10" t="s">
        <v>32</v>
      </c>
      <c r="R144" s="10" t="s">
        <v>32</v>
      </c>
    </row>
    <row r="145" spans="1:18" ht="20.100000000000001" customHeight="1" x14ac:dyDescent="0.25">
      <c r="A145" s="8"/>
      <c r="B145" s="10" t="s">
        <v>527</v>
      </c>
      <c r="C145" s="10"/>
      <c r="D145" s="10" t="s">
        <v>528</v>
      </c>
      <c r="E145" s="10" t="s">
        <v>529</v>
      </c>
      <c r="F145" s="10" t="s">
        <v>530</v>
      </c>
      <c r="G145" s="8">
        <v>8</v>
      </c>
      <c r="H145" s="10" t="s">
        <v>32</v>
      </c>
      <c r="I145" s="10">
        <f t="shared" si="4"/>
        <v>1152</v>
      </c>
      <c r="J145" s="10">
        <f t="shared" si="5"/>
        <v>144</v>
      </c>
      <c r="K145" s="29" t="s">
        <v>32</v>
      </c>
      <c r="L145" s="29" t="s">
        <v>32</v>
      </c>
      <c r="M145" s="30" t="s">
        <v>1289</v>
      </c>
      <c r="N145" s="10" t="s">
        <v>32</v>
      </c>
      <c r="O145" s="10" t="s">
        <v>32</v>
      </c>
      <c r="P145" s="10" t="s">
        <v>32</v>
      </c>
      <c r="Q145" s="10" t="s">
        <v>32</v>
      </c>
      <c r="R145" s="10" t="s">
        <v>32</v>
      </c>
    </row>
    <row r="146" spans="1:18" ht="20.100000000000001" customHeight="1" x14ac:dyDescent="0.25">
      <c r="A146" s="7">
        <v>635</v>
      </c>
      <c r="B146" s="9" t="s">
        <v>531</v>
      </c>
      <c r="C146" s="9"/>
      <c r="D146" s="9" t="s">
        <v>532</v>
      </c>
      <c r="E146" s="9" t="s">
        <v>533</v>
      </c>
      <c r="F146" s="9" t="s">
        <v>534</v>
      </c>
      <c r="G146" s="7">
        <v>4</v>
      </c>
      <c r="H146" s="9" t="s">
        <v>535</v>
      </c>
      <c r="I146" s="9">
        <f t="shared" si="4"/>
        <v>636</v>
      </c>
      <c r="J146" s="9">
        <f t="shared" si="5"/>
        <v>159</v>
      </c>
      <c r="K146" s="3" t="s">
        <v>1289</v>
      </c>
      <c r="L146" s="28" t="s">
        <v>32</v>
      </c>
      <c r="M146" s="28" t="s">
        <v>32</v>
      </c>
      <c r="N146" s="9" t="s">
        <v>32</v>
      </c>
      <c r="O146" s="9" t="s">
        <v>32</v>
      </c>
      <c r="P146" s="9" t="s">
        <v>32</v>
      </c>
      <c r="Q146" s="9" t="s">
        <v>32</v>
      </c>
      <c r="R146" s="9" t="s">
        <v>32</v>
      </c>
    </row>
    <row r="147" spans="1:18" ht="20.100000000000001" customHeight="1" x14ac:dyDescent="0.25">
      <c r="A147" s="7"/>
      <c r="B147" s="9" t="s">
        <v>536</v>
      </c>
      <c r="C147" s="9"/>
      <c r="D147" s="9" t="s">
        <v>532</v>
      </c>
      <c r="E147" s="9" t="s">
        <v>529</v>
      </c>
      <c r="F147" s="9" t="s">
        <v>537</v>
      </c>
      <c r="G147" s="7">
        <v>4</v>
      </c>
      <c r="H147" s="9" t="s">
        <v>32</v>
      </c>
      <c r="I147" s="9">
        <f t="shared" si="4"/>
        <v>576</v>
      </c>
      <c r="J147" s="9">
        <f t="shared" si="5"/>
        <v>144</v>
      </c>
      <c r="K147" s="28" t="s">
        <v>32</v>
      </c>
      <c r="L147" s="28" t="s">
        <v>32</v>
      </c>
      <c r="M147" s="3" t="s">
        <v>1289</v>
      </c>
      <c r="N147" s="9" t="s">
        <v>32</v>
      </c>
      <c r="O147" s="9" t="s">
        <v>32</v>
      </c>
      <c r="P147" s="9" t="s">
        <v>32</v>
      </c>
      <c r="Q147" s="9" t="s">
        <v>32</v>
      </c>
      <c r="R147" s="9" t="s">
        <v>32</v>
      </c>
    </row>
    <row r="148" spans="1:18" ht="20.100000000000001" customHeight="1" x14ac:dyDescent="0.25">
      <c r="A148" s="7"/>
      <c r="B148" s="9" t="s">
        <v>538</v>
      </c>
      <c r="C148" s="9"/>
      <c r="D148" s="9" t="s">
        <v>539</v>
      </c>
      <c r="E148" s="9" t="s">
        <v>525</v>
      </c>
      <c r="F148" s="9" t="s">
        <v>540</v>
      </c>
      <c r="G148" s="7">
        <v>4</v>
      </c>
      <c r="H148" s="9" t="s">
        <v>32</v>
      </c>
      <c r="I148" s="9">
        <f t="shared" si="4"/>
        <v>596</v>
      </c>
      <c r="J148" s="9">
        <f t="shared" si="5"/>
        <v>149</v>
      </c>
      <c r="K148" s="28" t="s">
        <v>32</v>
      </c>
      <c r="L148" s="3" t="s">
        <v>1289</v>
      </c>
      <c r="M148" s="28" t="s">
        <v>32</v>
      </c>
      <c r="N148" s="9" t="s">
        <v>32</v>
      </c>
      <c r="O148" s="9" t="s">
        <v>32</v>
      </c>
      <c r="P148" s="9" t="s">
        <v>32</v>
      </c>
      <c r="Q148" s="9" t="s">
        <v>32</v>
      </c>
      <c r="R148" s="9" t="s">
        <v>32</v>
      </c>
    </row>
    <row r="149" spans="1:18" ht="20.100000000000001" customHeight="1" x14ac:dyDescent="0.25">
      <c r="A149" s="8">
        <v>638</v>
      </c>
      <c r="B149" s="10" t="s">
        <v>541</v>
      </c>
      <c r="C149" s="10"/>
      <c r="D149" s="10" t="s">
        <v>542</v>
      </c>
      <c r="E149" s="10" t="s">
        <v>262</v>
      </c>
      <c r="F149" s="10" t="s">
        <v>543</v>
      </c>
      <c r="G149" s="8">
        <v>1</v>
      </c>
      <c r="H149" s="10" t="s">
        <v>544</v>
      </c>
      <c r="I149" s="10">
        <f t="shared" si="4"/>
        <v>159</v>
      </c>
      <c r="J149" s="10">
        <f t="shared" si="5"/>
        <v>159</v>
      </c>
      <c r="K149" s="30" t="s">
        <v>1289</v>
      </c>
      <c r="L149" s="29" t="s">
        <v>32</v>
      </c>
      <c r="M149" s="29" t="s">
        <v>32</v>
      </c>
      <c r="N149" s="10" t="s">
        <v>32</v>
      </c>
      <c r="O149" s="10" t="s">
        <v>32</v>
      </c>
      <c r="P149" s="10" t="s">
        <v>32</v>
      </c>
      <c r="Q149" s="10" t="s">
        <v>32</v>
      </c>
      <c r="R149" s="10" t="s">
        <v>32</v>
      </c>
    </row>
    <row r="150" spans="1:18" ht="20.100000000000001" customHeight="1" x14ac:dyDescent="0.25">
      <c r="A150" s="8"/>
      <c r="B150" s="10" t="s">
        <v>545</v>
      </c>
      <c r="C150" s="10"/>
      <c r="D150" s="10" t="s">
        <v>546</v>
      </c>
      <c r="E150" s="10" t="s">
        <v>525</v>
      </c>
      <c r="F150" s="10" t="s">
        <v>547</v>
      </c>
      <c r="G150" s="8">
        <v>1</v>
      </c>
      <c r="H150" s="10" t="s">
        <v>32</v>
      </c>
      <c r="I150" s="10">
        <f t="shared" si="4"/>
        <v>149</v>
      </c>
      <c r="J150" s="10">
        <f t="shared" si="5"/>
        <v>149</v>
      </c>
      <c r="K150" s="29" t="s">
        <v>32</v>
      </c>
      <c r="L150" s="30" t="s">
        <v>1289</v>
      </c>
      <c r="M150" s="29" t="s">
        <v>32</v>
      </c>
      <c r="N150" s="10" t="s">
        <v>32</v>
      </c>
      <c r="O150" s="10" t="s">
        <v>32</v>
      </c>
      <c r="P150" s="10" t="s">
        <v>32</v>
      </c>
      <c r="Q150" s="10" t="s">
        <v>32</v>
      </c>
      <c r="R150" s="10" t="s">
        <v>32</v>
      </c>
    </row>
    <row r="151" spans="1:18" ht="20.100000000000001" customHeight="1" x14ac:dyDescent="0.25">
      <c r="A151" s="8"/>
      <c r="B151" s="10" t="s">
        <v>548</v>
      </c>
      <c r="C151" s="10"/>
      <c r="D151" s="10" t="s">
        <v>542</v>
      </c>
      <c r="E151" s="10" t="s">
        <v>529</v>
      </c>
      <c r="F151" s="10" t="s">
        <v>549</v>
      </c>
      <c r="G151" s="8">
        <v>1</v>
      </c>
      <c r="H151" s="10" t="s">
        <v>32</v>
      </c>
      <c r="I151" s="10">
        <f t="shared" si="4"/>
        <v>144</v>
      </c>
      <c r="J151" s="10">
        <f t="shared" si="5"/>
        <v>144</v>
      </c>
      <c r="K151" s="29" t="s">
        <v>32</v>
      </c>
      <c r="L151" s="29" t="s">
        <v>32</v>
      </c>
      <c r="M151" s="30" t="s">
        <v>1289</v>
      </c>
      <c r="N151" s="10" t="s">
        <v>32</v>
      </c>
      <c r="O151" s="10" t="s">
        <v>32</v>
      </c>
      <c r="P151" s="10" t="s">
        <v>32</v>
      </c>
      <c r="Q151" s="10" t="s">
        <v>32</v>
      </c>
      <c r="R151" s="10" t="s">
        <v>32</v>
      </c>
    </row>
    <row r="152" spans="1:18" ht="20.100000000000001" customHeight="1" x14ac:dyDescent="0.25">
      <c r="A152" s="7">
        <v>639</v>
      </c>
      <c r="B152" s="9" t="s">
        <v>550</v>
      </c>
      <c r="C152" s="9"/>
      <c r="D152" s="9" t="s">
        <v>551</v>
      </c>
      <c r="E152" s="9" t="s">
        <v>262</v>
      </c>
      <c r="F152" s="9" t="s">
        <v>552</v>
      </c>
      <c r="G152" s="7">
        <v>1</v>
      </c>
      <c r="H152" s="9" t="s">
        <v>553</v>
      </c>
      <c r="I152" s="9">
        <f t="shared" si="4"/>
        <v>159</v>
      </c>
      <c r="J152" s="9">
        <f t="shared" si="5"/>
        <v>159</v>
      </c>
      <c r="K152" s="3" t="s">
        <v>1289</v>
      </c>
      <c r="L152" s="28" t="s">
        <v>32</v>
      </c>
      <c r="M152" s="28" t="s">
        <v>32</v>
      </c>
      <c r="N152" s="9" t="s">
        <v>32</v>
      </c>
      <c r="O152" s="9" t="s">
        <v>32</v>
      </c>
      <c r="P152" s="9" t="s">
        <v>32</v>
      </c>
      <c r="Q152" s="9" t="s">
        <v>32</v>
      </c>
      <c r="R152" s="9" t="s">
        <v>32</v>
      </c>
    </row>
    <row r="153" spans="1:18" ht="20.100000000000001" customHeight="1" x14ac:dyDescent="0.25">
      <c r="A153" s="7"/>
      <c r="B153" s="9" t="s">
        <v>554</v>
      </c>
      <c r="C153" s="9"/>
      <c r="D153" s="9" t="s">
        <v>551</v>
      </c>
      <c r="E153" s="9" t="s">
        <v>525</v>
      </c>
      <c r="F153" s="9" t="s">
        <v>555</v>
      </c>
      <c r="G153" s="7">
        <v>1</v>
      </c>
      <c r="H153" s="9" t="s">
        <v>32</v>
      </c>
      <c r="I153" s="9">
        <f t="shared" si="4"/>
        <v>149</v>
      </c>
      <c r="J153" s="9">
        <f t="shared" si="5"/>
        <v>149</v>
      </c>
      <c r="K153" s="28" t="s">
        <v>32</v>
      </c>
      <c r="L153" s="3" t="s">
        <v>1289</v>
      </c>
      <c r="M153" s="28" t="s">
        <v>32</v>
      </c>
      <c r="N153" s="9" t="s">
        <v>32</v>
      </c>
      <c r="O153" s="9" t="s">
        <v>32</v>
      </c>
      <c r="P153" s="9" t="s">
        <v>32</v>
      </c>
      <c r="Q153" s="9" t="s">
        <v>32</v>
      </c>
      <c r="R153" s="9" t="s">
        <v>32</v>
      </c>
    </row>
    <row r="154" spans="1:18" ht="20.100000000000001" customHeight="1" x14ac:dyDescent="0.25">
      <c r="A154" s="7"/>
      <c r="B154" s="9" t="s">
        <v>556</v>
      </c>
      <c r="C154" s="9"/>
      <c r="D154" s="9" t="s">
        <v>557</v>
      </c>
      <c r="E154" s="9" t="s">
        <v>529</v>
      </c>
      <c r="F154" s="9" t="s">
        <v>558</v>
      </c>
      <c r="G154" s="7">
        <v>1</v>
      </c>
      <c r="H154" s="9" t="s">
        <v>32</v>
      </c>
      <c r="I154" s="9">
        <f t="shared" si="4"/>
        <v>144</v>
      </c>
      <c r="J154" s="9">
        <f t="shared" si="5"/>
        <v>144</v>
      </c>
      <c r="K154" s="28" t="s">
        <v>32</v>
      </c>
      <c r="L154" s="28" t="s">
        <v>32</v>
      </c>
      <c r="M154" s="3" t="s">
        <v>1289</v>
      </c>
      <c r="N154" s="9" t="s">
        <v>32</v>
      </c>
      <c r="O154" s="9" t="s">
        <v>32</v>
      </c>
      <c r="P154" s="9" t="s">
        <v>32</v>
      </c>
      <c r="Q154" s="9" t="s">
        <v>32</v>
      </c>
      <c r="R154" s="9" t="s">
        <v>32</v>
      </c>
    </row>
    <row r="155" spans="1:18" ht="20.100000000000001" customHeight="1" x14ac:dyDescent="0.25">
      <c r="A155" s="8">
        <v>640</v>
      </c>
      <c r="B155" s="10" t="s">
        <v>559</v>
      </c>
      <c r="C155" s="10"/>
      <c r="D155" s="10" t="s">
        <v>560</v>
      </c>
      <c r="E155" s="10" t="s">
        <v>262</v>
      </c>
      <c r="F155" s="10" t="s">
        <v>561</v>
      </c>
      <c r="G155" s="8">
        <v>1</v>
      </c>
      <c r="H155" s="10" t="s">
        <v>562</v>
      </c>
      <c r="I155" s="10">
        <f t="shared" si="4"/>
        <v>159</v>
      </c>
      <c r="J155" s="10">
        <f t="shared" si="5"/>
        <v>159</v>
      </c>
      <c r="K155" s="30" t="s">
        <v>1289</v>
      </c>
      <c r="L155" s="29" t="s">
        <v>32</v>
      </c>
      <c r="M155" s="29" t="s">
        <v>32</v>
      </c>
      <c r="N155" s="10" t="s">
        <v>32</v>
      </c>
      <c r="O155" s="10" t="s">
        <v>32</v>
      </c>
      <c r="P155" s="10" t="s">
        <v>32</v>
      </c>
      <c r="Q155" s="10" t="s">
        <v>32</v>
      </c>
      <c r="R155" s="10" t="s">
        <v>32</v>
      </c>
    </row>
    <row r="156" spans="1:18" ht="20.100000000000001" customHeight="1" x14ac:dyDescent="0.25">
      <c r="A156" s="8"/>
      <c r="B156" s="10" t="s">
        <v>563</v>
      </c>
      <c r="C156" s="10"/>
      <c r="D156" s="10" t="s">
        <v>564</v>
      </c>
      <c r="E156" s="10" t="s">
        <v>529</v>
      </c>
      <c r="F156" s="10" t="s">
        <v>565</v>
      </c>
      <c r="G156" s="8">
        <v>1</v>
      </c>
      <c r="H156" s="10" t="s">
        <v>32</v>
      </c>
      <c r="I156" s="10">
        <f t="shared" si="4"/>
        <v>144</v>
      </c>
      <c r="J156" s="10">
        <f t="shared" si="5"/>
        <v>144</v>
      </c>
      <c r="K156" s="29" t="s">
        <v>32</v>
      </c>
      <c r="L156" s="29" t="s">
        <v>32</v>
      </c>
      <c r="M156" s="30" t="s">
        <v>1289</v>
      </c>
      <c r="N156" s="10" t="s">
        <v>32</v>
      </c>
      <c r="O156" s="10" t="s">
        <v>32</v>
      </c>
      <c r="P156" s="10" t="s">
        <v>32</v>
      </c>
      <c r="Q156" s="10" t="s">
        <v>32</v>
      </c>
      <c r="R156" s="10" t="s">
        <v>32</v>
      </c>
    </row>
    <row r="157" spans="1:18" ht="20.100000000000001" customHeight="1" x14ac:dyDescent="0.25">
      <c r="A157" s="8"/>
      <c r="B157" s="10" t="s">
        <v>566</v>
      </c>
      <c r="C157" s="10"/>
      <c r="D157" s="10" t="s">
        <v>560</v>
      </c>
      <c r="E157" s="10" t="s">
        <v>525</v>
      </c>
      <c r="F157" s="10" t="s">
        <v>567</v>
      </c>
      <c r="G157" s="8">
        <v>1</v>
      </c>
      <c r="H157" s="10" t="s">
        <v>32</v>
      </c>
      <c r="I157" s="10">
        <f t="shared" si="4"/>
        <v>149</v>
      </c>
      <c r="J157" s="10">
        <f t="shared" si="5"/>
        <v>149</v>
      </c>
      <c r="K157" s="29" t="s">
        <v>32</v>
      </c>
      <c r="L157" s="30" t="s">
        <v>1289</v>
      </c>
      <c r="M157" s="29" t="s">
        <v>32</v>
      </c>
      <c r="N157" s="10" t="s">
        <v>32</v>
      </c>
      <c r="O157" s="10" t="s">
        <v>32</v>
      </c>
      <c r="P157" s="10" t="s">
        <v>32</v>
      </c>
      <c r="Q157" s="10" t="s">
        <v>32</v>
      </c>
      <c r="R157" s="10" t="s">
        <v>32</v>
      </c>
    </row>
    <row r="158" spans="1:18" ht="20.100000000000001" customHeight="1" x14ac:dyDescent="0.25">
      <c r="A158" s="7">
        <v>642</v>
      </c>
      <c r="B158" s="9" t="s">
        <v>568</v>
      </c>
      <c r="C158" s="9"/>
      <c r="D158" s="9" t="s">
        <v>569</v>
      </c>
      <c r="E158" s="9" t="s">
        <v>262</v>
      </c>
      <c r="F158" s="9" t="s">
        <v>570</v>
      </c>
      <c r="G158" s="7">
        <v>1</v>
      </c>
      <c r="H158" s="9" t="s">
        <v>571</v>
      </c>
      <c r="I158" s="9">
        <f t="shared" si="4"/>
        <v>159</v>
      </c>
      <c r="J158" s="9">
        <f t="shared" si="5"/>
        <v>159</v>
      </c>
      <c r="K158" s="3" t="s">
        <v>1289</v>
      </c>
      <c r="L158" s="28" t="s">
        <v>32</v>
      </c>
      <c r="M158" s="28" t="s">
        <v>32</v>
      </c>
      <c r="N158" s="9" t="s">
        <v>32</v>
      </c>
      <c r="O158" s="9" t="s">
        <v>32</v>
      </c>
      <c r="P158" s="9" t="s">
        <v>32</v>
      </c>
      <c r="Q158" s="9" t="s">
        <v>32</v>
      </c>
      <c r="R158" s="9" t="s">
        <v>32</v>
      </c>
    </row>
    <row r="159" spans="1:18" ht="20.100000000000001" customHeight="1" x14ac:dyDescent="0.25">
      <c r="A159" s="7"/>
      <c r="B159" s="9" t="s">
        <v>572</v>
      </c>
      <c r="C159" s="9"/>
      <c r="D159" s="9" t="s">
        <v>569</v>
      </c>
      <c r="E159" s="9" t="s">
        <v>573</v>
      </c>
      <c r="F159" s="9" t="s">
        <v>574</v>
      </c>
      <c r="G159" s="7">
        <v>1</v>
      </c>
      <c r="H159" s="9" t="s">
        <v>32</v>
      </c>
      <c r="I159" s="9">
        <f t="shared" si="4"/>
        <v>144</v>
      </c>
      <c r="J159" s="9">
        <f t="shared" si="5"/>
        <v>144</v>
      </c>
      <c r="K159" s="28" t="s">
        <v>32</v>
      </c>
      <c r="L159" s="28" t="s">
        <v>32</v>
      </c>
      <c r="M159" s="3" t="s">
        <v>1289</v>
      </c>
      <c r="N159" s="9" t="s">
        <v>32</v>
      </c>
      <c r="O159" s="9" t="s">
        <v>32</v>
      </c>
      <c r="P159" s="9" t="s">
        <v>32</v>
      </c>
      <c r="Q159" s="9" t="s">
        <v>32</v>
      </c>
      <c r="R159" s="9" t="s">
        <v>32</v>
      </c>
    </row>
    <row r="160" spans="1:18" ht="20.100000000000001" customHeight="1" x14ac:dyDescent="0.25">
      <c r="A160" s="7"/>
      <c r="B160" s="9" t="s">
        <v>575</v>
      </c>
      <c r="C160" s="9"/>
      <c r="D160" s="9" t="s">
        <v>569</v>
      </c>
      <c r="E160" s="9" t="s">
        <v>525</v>
      </c>
      <c r="F160" s="9" t="s">
        <v>576</v>
      </c>
      <c r="G160" s="7">
        <v>1</v>
      </c>
      <c r="H160" s="9" t="s">
        <v>32</v>
      </c>
      <c r="I160" s="9">
        <f t="shared" si="4"/>
        <v>149</v>
      </c>
      <c r="J160" s="9">
        <f t="shared" si="5"/>
        <v>149</v>
      </c>
      <c r="K160" s="28" t="s">
        <v>32</v>
      </c>
      <c r="L160" s="3" t="s">
        <v>1289</v>
      </c>
      <c r="M160" s="28" t="s">
        <v>32</v>
      </c>
      <c r="N160" s="9" t="s">
        <v>32</v>
      </c>
      <c r="O160" s="9" t="s">
        <v>32</v>
      </c>
      <c r="P160" s="9" t="s">
        <v>32</v>
      </c>
      <c r="Q160" s="9" t="s">
        <v>32</v>
      </c>
      <c r="R160" s="9" t="s">
        <v>32</v>
      </c>
    </row>
    <row r="161" spans="1:18" ht="20.100000000000001" customHeight="1" x14ac:dyDescent="0.25">
      <c r="A161" s="8">
        <v>643</v>
      </c>
      <c r="B161" s="10" t="s">
        <v>577</v>
      </c>
      <c r="C161" s="10"/>
      <c r="D161" s="26" t="s">
        <v>1303</v>
      </c>
      <c r="E161" s="10" t="s">
        <v>266</v>
      </c>
      <c r="F161" s="10" t="s">
        <v>578</v>
      </c>
      <c r="G161" s="8">
        <v>1</v>
      </c>
      <c r="H161" s="10" t="s">
        <v>579</v>
      </c>
      <c r="I161" s="10">
        <f t="shared" si="4"/>
        <v>159</v>
      </c>
      <c r="J161" s="10">
        <f t="shared" si="5"/>
        <v>159</v>
      </c>
      <c r="K161" s="30" t="s">
        <v>1289</v>
      </c>
      <c r="L161" s="29" t="s">
        <v>32</v>
      </c>
      <c r="M161" s="29" t="s">
        <v>32</v>
      </c>
      <c r="N161" s="10" t="s">
        <v>32</v>
      </c>
      <c r="O161" s="10" t="s">
        <v>32</v>
      </c>
      <c r="P161" s="10" t="s">
        <v>32</v>
      </c>
      <c r="Q161" s="10" t="s">
        <v>32</v>
      </c>
      <c r="R161" s="10" t="s">
        <v>32</v>
      </c>
    </row>
    <row r="162" spans="1:18" ht="20.100000000000001" customHeight="1" x14ac:dyDescent="0.25">
      <c r="A162" s="8"/>
      <c r="B162" s="10" t="s">
        <v>580</v>
      </c>
      <c r="C162" s="10"/>
      <c r="D162" s="10" t="s">
        <v>581</v>
      </c>
      <c r="E162" s="10" t="s">
        <v>582</v>
      </c>
      <c r="F162" s="10" t="s">
        <v>583</v>
      </c>
      <c r="G162" s="8">
        <v>1</v>
      </c>
      <c r="H162" s="10" t="s">
        <v>32</v>
      </c>
      <c r="I162" s="10">
        <f t="shared" si="4"/>
        <v>144</v>
      </c>
      <c r="J162" s="10">
        <f t="shared" si="5"/>
        <v>144</v>
      </c>
      <c r="K162" s="29" t="s">
        <v>32</v>
      </c>
      <c r="L162" s="30"/>
      <c r="M162" s="30" t="s">
        <v>1289</v>
      </c>
      <c r="N162" s="10" t="s">
        <v>32</v>
      </c>
      <c r="O162" s="10" t="s">
        <v>32</v>
      </c>
      <c r="P162" s="10" t="s">
        <v>32</v>
      </c>
      <c r="Q162" s="10" t="s">
        <v>32</v>
      </c>
      <c r="R162" s="10" t="s">
        <v>32</v>
      </c>
    </row>
    <row r="163" spans="1:18" ht="20.100000000000001" customHeight="1" x14ac:dyDescent="0.25">
      <c r="A163" s="8"/>
      <c r="B163" s="10" t="s">
        <v>584</v>
      </c>
      <c r="C163" s="10"/>
      <c r="D163" s="10" t="s">
        <v>585</v>
      </c>
      <c r="E163" s="10" t="s">
        <v>262</v>
      </c>
      <c r="F163" s="10" t="s">
        <v>586</v>
      </c>
      <c r="G163" s="8">
        <v>1</v>
      </c>
      <c r="H163" s="10" t="s">
        <v>32</v>
      </c>
      <c r="I163" s="10">
        <f t="shared" si="4"/>
        <v>149</v>
      </c>
      <c r="J163" s="10">
        <f t="shared" si="5"/>
        <v>149</v>
      </c>
      <c r="K163" s="29" t="s">
        <v>32</v>
      </c>
      <c r="L163" s="30" t="s">
        <v>1289</v>
      </c>
      <c r="M163" s="29"/>
      <c r="N163" s="10" t="s">
        <v>32</v>
      </c>
      <c r="O163" s="10" t="s">
        <v>32</v>
      </c>
      <c r="P163" s="10" t="s">
        <v>32</v>
      </c>
      <c r="Q163" s="10" t="s">
        <v>32</v>
      </c>
      <c r="R163" s="10" t="s">
        <v>32</v>
      </c>
    </row>
    <row r="164" spans="1:18" ht="20.100000000000001" customHeight="1" x14ac:dyDescent="0.25">
      <c r="A164" s="7">
        <v>646</v>
      </c>
      <c r="B164" s="9" t="s">
        <v>587</v>
      </c>
      <c r="C164" s="9"/>
      <c r="D164" s="9" t="s">
        <v>588</v>
      </c>
      <c r="E164" s="9" t="s">
        <v>525</v>
      </c>
      <c r="F164" s="9" t="s">
        <v>589</v>
      </c>
      <c r="G164" s="7">
        <v>1</v>
      </c>
      <c r="H164" s="9" t="s">
        <v>590</v>
      </c>
      <c r="I164" s="9">
        <f t="shared" si="4"/>
        <v>159</v>
      </c>
      <c r="J164" s="9">
        <f t="shared" si="5"/>
        <v>159</v>
      </c>
      <c r="K164" s="3" t="s">
        <v>1289</v>
      </c>
      <c r="L164" s="3"/>
      <c r="M164" s="28" t="s">
        <v>32</v>
      </c>
      <c r="N164" s="9" t="s">
        <v>32</v>
      </c>
      <c r="O164" s="9" t="s">
        <v>32</v>
      </c>
      <c r="P164" s="9" t="s">
        <v>32</v>
      </c>
      <c r="Q164" s="9" t="s">
        <v>32</v>
      </c>
      <c r="R164" s="9" t="s">
        <v>32</v>
      </c>
    </row>
    <row r="165" spans="1:18" ht="20.100000000000001" customHeight="1" x14ac:dyDescent="0.25">
      <c r="A165" s="7"/>
      <c r="B165" s="9" t="s">
        <v>591</v>
      </c>
      <c r="C165" s="9"/>
      <c r="D165" s="9" t="s">
        <v>592</v>
      </c>
      <c r="E165" s="9" t="s">
        <v>529</v>
      </c>
      <c r="F165" s="9" t="s">
        <v>593</v>
      </c>
      <c r="G165" s="7">
        <v>1</v>
      </c>
      <c r="H165" s="9" t="s">
        <v>32</v>
      </c>
      <c r="I165" s="9">
        <f t="shared" si="4"/>
        <v>293</v>
      </c>
      <c r="J165" s="9">
        <f t="shared" si="5"/>
        <v>293</v>
      </c>
      <c r="K165" s="28" t="s">
        <v>32</v>
      </c>
      <c r="L165" s="3" t="s">
        <v>1289</v>
      </c>
      <c r="M165" s="3" t="s">
        <v>1289</v>
      </c>
      <c r="N165" s="9" t="s">
        <v>32</v>
      </c>
      <c r="O165" s="9" t="s">
        <v>32</v>
      </c>
      <c r="P165" s="9" t="s">
        <v>32</v>
      </c>
      <c r="Q165" s="9" t="s">
        <v>32</v>
      </c>
      <c r="R165" s="9" t="s">
        <v>32</v>
      </c>
    </row>
    <row r="166" spans="1:18" ht="20.100000000000001" customHeight="1" x14ac:dyDescent="0.25">
      <c r="A166" s="8">
        <v>647</v>
      </c>
      <c r="B166" s="10" t="s">
        <v>594</v>
      </c>
      <c r="C166" s="10"/>
      <c r="D166" s="10" t="s">
        <v>595</v>
      </c>
      <c r="E166" s="10" t="s">
        <v>529</v>
      </c>
      <c r="F166" s="10" t="s">
        <v>596</v>
      </c>
      <c r="G166" s="8">
        <v>1</v>
      </c>
      <c r="H166" s="10" t="s">
        <v>597</v>
      </c>
      <c r="I166" s="10">
        <f t="shared" si="4"/>
        <v>159</v>
      </c>
      <c r="J166" s="10">
        <f t="shared" si="5"/>
        <v>159</v>
      </c>
      <c r="K166" s="30" t="s">
        <v>1289</v>
      </c>
      <c r="L166" s="29" t="s">
        <v>32</v>
      </c>
      <c r="M166" s="29" t="s">
        <v>32</v>
      </c>
      <c r="N166" s="10" t="s">
        <v>32</v>
      </c>
      <c r="O166" s="10" t="s">
        <v>32</v>
      </c>
      <c r="P166" s="10" t="s">
        <v>32</v>
      </c>
      <c r="Q166" s="10" t="s">
        <v>32</v>
      </c>
      <c r="R166" s="10" t="s">
        <v>32</v>
      </c>
    </row>
    <row r="167" spans="1:18" ht="20.100000000000001" customHeight="1" x14ac:dyDescent="0.25">
      <c r="A167" s="8"/>
      <c r="B167" s="10" t="s">
        <v>598</v>
      </c>
      <c r="C167" s="10"/>
      <c r="D167" s="10" t="s">
        <v>599</v>
      </c>
      <c r="E167" s="10" t="s">
        <v>525</v>
      </c>
      <c r="F167" s="10" t="s">
        <v>600</v>
      </c>
      <c r="G167" s="8">
        <v>1</v>
      </c>
      <c r="H167" s="10" t="s">
        <v>32</v>
      </c>
      <c r="I167" s="10">
        <f t="shared" si="4"/>
        <v>149</v>
      </c>
      <c r="J167" s="10">
        <f t="shared" si="5"/>
        <v>149</v>
      </c>
      <c r="K167" s="29" t="s">
        <v>32</v>
      </c>
      <c r="L167" s="30" t="s">
        <v>1289</v>
      </c>
      <c r="M167" s="29" t="s">
        <v>32</v>
      </c>
      <c r="N167" s="10" t="s">
        <v>32</v>
      </c>
      <c r="O167" s="10" t="s">
        <v>32</v>
      </c>
      <c r="P167" s="10" t="s">
        <v>32</v>
      </c>
      <c r="Q167" s="10" t="s">
        <v>32</v>
      </c>
      <c r="R167" s="10" t="s">
        <v>32</v>
      </c>
    </row>
    <row r="168" spans="1:18" ht="20.100000000000001" customHeight="1" x14ac:dyDescent="0.25">
      <c r="A168" s="8"/>
      <c r="B168" s="10" t="s">
        <v>601</v>
      </c>
      <c r="C168" s="10"/>
      <c r="D168" s="10" t="s">
        <v>599</v>
      </c>
      <c r="E168" s="10" t="s">
        <v>573</v>
      </c>
      <c r="F168" s="10" t="s">
        <v>602</v>
      </c>
      <c r="G168" s="8">
        <v>1</v>
      </c>
      <c r="H168" s="10" t="s">
        <v>32</v>
      </c>
      <c r="I168" s="10">
        <f t="shared" si="4"/>
        <v>144</v>
      </c>
      <c r="J168" s="10">
        <f t="shared" si="5"/>
        <v>144</v>
      </c>
      <c r="K168" s="29" t="s">
        <v>32</v>
      </c>
      <c r="L168" s="29" t="s">
        <v>32</v>
      </c>
      <c r="M168" s="30" t="s">
        <v>1289</v>
      </c>
      <c r="N168" s="10" t="s">
        <v>32</v>
      </c>
      <c r="O168" s="10" t="s">
        <v>32</v>
      </c>
      <c r="P168" s="10" t="s">
        <v>32</v>
      </c>
      <c r="Q168" s="10" t="s">
        <v>32</v>
      </c>
      <c r="R168" s="10" t="s">
        <v>32</v>
      </c>
    </row>
    <row r="169" spans="1:18" ht="20.100000000000001" customHeight="1" x14ac:dyDescent="0.25">
      <c r="A169" s="43">
        <v>651</v>
      </c>
      <c r="B169" s="44" t="s">
        <v>603</v>
      </c>
      <c r="C169" s="44"/>
      <c r="D169" s="44" t="s">
        <v>604</v>
      </c>
      <c r="E169" s="44" t="s">
        <v>85</v>
      </c>
      <c r="F169" s="44" t="s">
        <v>605</v>
      </c>
      <c r="G169" s="43">
        <v>8</v>
      </c>
      <c r="H169" s="44" t="s">
        <v>606</v>
      </c>
      <c r="I169" s="44">
        <f t="shared" si="4"/>
        <v>1272</v>
      </c>
      <c r="J169" s="44">
        <f t="shared" si="5"/>
        <v>159</v>
      </c>
      <c r="K169" s="45" t="s">
        <v>1289</v>
      </c>
      <c r="L169" s="46" t="s">
        <v>32</v>
      </c>
      <c r="M169" s="46" t="s">
        <v>32</v>
      </c>
      <c r="N169" s="9" t="s">
        <v>32</v>
      </c>
      <c r="O169" s="9" t="s">
        <v>32</v>
      </c>
      <c r="P169" s="9" t="s">
        <v>32</v>
      </c>
      <c r="Q169" s="9" t="s">
        <v>32</v>
      </c>
      <c r="R169" s="9" t="s">
        <v>32</v>
      </c>
    </row>
    <row r="170" spans="1:18" s="50" customFormat="1" ht="20.100000000000001" customHeight="1" x14ac:dyDescent="0.25">
      <c r="A170" s="47"/>
      <c r="B170" s="48" t="s">
        <v>607</v>
      </c>
      <c r="C170" s="48"/>
      <c r="D170" s="48" t="s">
        <v>608</v>
      </c>
      <c r="E170" s="48" t="s">
        <v>81</v>
      </c>
      <c r="F170" s="48" t="s">
        <v>609</v>
      </c>
      <c r="G170" s="47">
        <v>8</v>
      </c>
      <c r="H170" s="48" t="s">
        <v>32</v>
      </c>
      <c r="I170" s="48">
        <f t="shared" si="4"/>
        <v>0</v>
      </c>
      <c r="J170" s="48">
        <f t="shared" si="5"/>
        <v>0</v>
      </c>
      <c r="K170" s="47" t="s">
        <v>32</v>
      </c>
      <c r="L170" s="47" t="s">
        <v>32</v>
      </c>
      <c r="M170" s="47"/>
      <c r="N170" s="49" t="s">
        <v>32</v>
      </c>
      <c r="O170" s="49" t="s">
        <v>32</v>
      </c>
      <c r="P170" s="49" t="s">
        <v>32</v>
      </c>
      <c r="Q170" s="49" t="s">
        <v>32</v>
      </c>
      <c r="R170" s="49" t="s">
        <v>32</v>
      </c>
    </row>
    <row r="171" spans="1:18" ht="20.100000000000001" customHeight="1" x14ac:dyDescent="0.25">
      <c r="A171" s="43"/>
      <c r="B171" s="44" t="s">
        <v>610</v>
      </c>
      <c r="C171" s="44"/>
      <c r="D171" s="44" t="s">
        <v>611</v>
      </c>
      <c r="E171" s="44" t="s">
        <v>612</v>
      </c>
      <c r="F171" s="44" t="s">
        <v>613</v>
      </c>
      <c r="G171" s="43">
        <v>8</v>
      </c>
      <c r="H171" s="44" t="s">
        <v>32</v>
      </c>
      <c r="I171" s="44">
        <f t="shared" si="4"/>
        <v>1152</v>
      </c>
      <c r="J171" s="44">
        <f t="shared" si="5"/>
        <v>144</v>
      </c>
      <c r="K171" s="46" t="s">
        <v>32</v>
      </c>
      <c r="L171" s="45"/>
      <c r="M171" s="45" t="s">
        <v>1289</v>
      </c>
      <c r="N171" s="9" t="s">
        <v>32</v>
      </c>
      <c r="O171" s="9" t="s">
        <v>32</v>
      </c>
      <c r="P171" s="9" t="s">
        <v>32</v>
      </c>
      <c r="Q171" s="9" t="s">
        <v>32</v>
      </c>
      <c r="R171" s="9" t="s">
        <v>32</v>
      </c>
    </row>
    <row r="172" spans="1:18" ht="20.100000000000001" customHeight="1" x14ac:dyDescent="0.25">
      <c r="A172" s="43"/>
      <c r="B172" s="44" t="s">
        <v>614</v>
      </c>
      <c r="C172" s="44"/>
      <c r="D172" s="44" t="s">
        <v>615</v>
      </c>
      <c r="E172" s="44" t="s">
        <v>93</v>
      </c>
      <c r="F172" s="44" t="s">
        <v>616</v>
      </c>
      <c r="G172" s="43">
        <v>8</v>
      </c>
      <c r="H172" s="44" t="s">
        <v>32</v>
      </c>
      <c r="I172" s="44">
        <f t="shared" si="4"/>
        <v>1192</v>
      </c>
      <c r="J172" s="44">
        <f t="shared" si="5"/>
        <v>149</v>
      </c>
      <c r="K172" s="46" t="s">
        <v>32</v>
      </c>
      <c r="L172" s="45" t="s">
        <v>1289</v>
      </c>
      <c r="M172" s="46" t="s">
        <v>32</v>
      </c>
      <c r="N172" s="9" t="s">
        <v>32</v>
      </c>
      <c r="O172" s="9" t="s">
        <v>32</v>
      </c>
      <c r="P172" s="9" t="s">
        <v>32</v>
      </c>
      <c r="Q172" s="9" t="s">
        <v>32</v>
      </c>
      <c r="R172" s="9" t="s">
        <v>32</v>
      </c>
    </row>
    <row r="173" spans="1:18" ht="20.100000000000001" customHeight="1" x14ac:dyDescent="0.25">
      <c r="A173" s="8">
        <v>654</v>
      </c>
      <c r="B173" s="10" t="s">
        <v>617</v>
      </c>
      <c r="C173" s="10"/>
      <c r="D173" s="10" t="s">
        <v>618</v>
      </c>
      <c r="E173" s="10" t="s">
        <v>619</v>
      </c>
      <c r="F173" s="10" t="s">
        <v>620</v>
      </c>
      <c r="G173" s="8">
        <v>1</v>
      </c>
      <c r="H173" s="26" t="s">
        <v>1293</v>
      </c>
      <c r="I173" s="10">
        <f t="shared" si="4"/>
        <v>159</v>
      </c>
      <c r="J173" s="10">
        <f t="shared" si="5"/>
        <v>159</v>
      </c>
      <c r="K173" s="30" t="s">
        <v>1289</v>
      </c>
      <c r="L173" s="29" t="s">
        <v>32</v>
      </c>
      <c r="M173" s="29" t="s">
        <v>32</v>
      </c>
      <c r="N173" s="10" t="s">
        <v>32</v>
      </c>
      <c r="O173" s="10" t="s">
        <v>32</v>
      </c>
      <c r="P173" s="10" t="s">
        <v>32</v>
      </c>
      <c r="Q173" s="10" t="s">
        <v>32</v>
      </c>
      <c r="R173" s="10" t="s">
        <v>32</v>
      </c>
    </row>
    <row r="174" spans="1:18" ht="20.100000000000001" customHeight="1" x14ac:dyDescent="0.25">
      <c r="A174" s="8"/>
      <c r="B174" s="10" t="s">
        <v>621</v>
      </c>
      <c r="C174" s="10"/>
      <c r="D174" s="10" t="s">
        <v>622</v>
      </c>
      <c r="E174" s="10" t="s">
        <v>320</v>
      </c>
      <c r="F174" s="10" t="s">
        <v>623</v>
      </c>
      <c r="G174" s="8">
        <v>1</v>
      </c>
      <c r="H174" s="10" t="s">
        <v>32</v>
      </c>
      <c r="I174" s="10">
        <f t="shared" si="4"/>
        <v>149</v>
      </c>
      <c r="J174" s="10">
        <f t="shared" si="5"/>
        <v>149</v>
      </c>
      <c r="K174" s="29" t="s">
        <v>32</v>
      </c>
      <c r="L174" s="30" t="s">
        <v>1289</v>
      </c>
      <c r="M174" s="29" t="s">
        <v>32</v>
      </c>
      <c r="N174" s="10" t="s">
        <v>32</v>
      </c>
      <c r="O174" s="10" t="s">
        <v>32</v>
      </c>
      <c r="P174" s="10" t="s">
        <v>32</v>
      </c>
      <c r="Q174" s="10" t="s">
        <v>32</v>
      </c>
      <c r="R174" s="10" t="s">
        <v>32</v>
      </c>
    </row>
    <row r="175" spans="1:18" ht="20.100000000000001" customHeight="1" x14ac:dyDescent="0.25">
      <c r="A175" s="8"/>
      <c r="B175" s="10" t="s">
        <v>624</v>
      </c>
      <c r="C175" s="10"/>
      <c r="D175" s="10" t="s">
        <v>625</v>
      </c>
      <c r="E175" s="10" t="s">
        <v>131</v>
      </c>
      <c r="F175" s="10" t="s">
        <v>626</v>
      </c>
      <c r="G175" s="8">
        <v>1</v>
      </c>
      <c r="H175" s="10" t="s">
        <v>32</v>
      </c>
      <c r="I175" s="10">
        <f t="shared" si="4"/>
        <v>144</v>
      </c>
      <c r="J175" s="10">
        <f t="shared" si="5"/>
        <v>144</v>
      </c>
      <c r="K175" s="29" t="s">
        <v>32</v>
      </c>
      <c r="L175" s="29" t="s">
        <v>32</v>
      </c>
      <c r="M175" s="30" t="s">
        <v>1289</v>
      </c>
      <c r="N175" s="10" t="s">
        <v>32</v>
      </c>
      <c r="O175" s="10" t="s">
        <v>32</v>
      </c>
      <c r="P175" s="10" t="s">
        <v>32</v>
      </c>
      <c r="Q175" s="10" t="s">
        <v>32</v>
      </c>
      <c r="R175" s="10" t="s">
        <v>32</v>
      </c>
    </row>
    <row r="176" spans="1:18" ht="20.100000000000001" customHeight="1" x14ac:dyDescent="0.25">
      <c r="A176" s="7">
        <v>655</v>
      </c>
      <c r="B176" s="9" t="s">
        <v>627</v>
      </c>
      <c r="C176" s="9"/>
      <c r="D176" s="9" t="s">
        <v>628</v>
      </c>
      <c r="E176" s="9" t="s">
        <v>131</v>
      </c>
      <c r="F176" s="25" t="s">
        <v>1294</v>
      </c>
      <c r="G176" s="7">
        <v>5</v>
      </c>
      <c r="H176" s="25" t="s">
        <v>1295</v>
      </c>
      <c r="I176" s="9">
        <f t="shared" si="4"/>
        <v>795</v>
      </c>
      <c r="J176" s="9">
        <f t="shared" si="5"/>
        <v>159</v>
      </c>
      <c r="K176" s="3" t="s">
        <v>1289</v>
      </c>
      <c r="L176" s="28" t="s">
        <v>32</v>
      </c>
      <c r="M176" s="28" t="s">
        <v>32</v>
      </c>
      <c r="N176" s="9" t="s">
        <v>32</v>
      </c>
      <c r="O176" s="9" t="s">
        <v>32</v>
      </c>
      <c r="P176" s="9" t="s">
        <v>32</v>
      </c>
      <c r="Q176" s="9" t="s">
        <v>32</v>
      </c>
      <c r="R176" s="9" t="s">
        <v>32</v>
      </c>
    </row>
    <row r="177" spans="1:18" ht="20.100000000000001" customHeight="1" x14ac:dyDescent="0.25">
      <c r="A177" s="7"/>
      <c r="B177" s="9" t="s">
        <v>629</v>
      </c>
      <c r="C177" s="9"/>
      <c r="D177" s="9" t="s">
        <v>630</v>
      </c>
      <c r="E177" s="9" t="s">
        <v>619</v>
      </c>
      <c r="F177" s="9" t="s">
        <v>631</v>
      </c>
      <c r="G177" s="7">
        <v>5</v>
      </c>
      <c r="H177" s="9" t="s">
        <v>32</v>
      </c>
      <c r="I177" s="9">
        <f t="shared" si="4"/>
        <v>720</v>
      </c>
      <c r="J177" s="9">
        <f t="shared" si="5"/>
        <v>144</v>
      </c>
      <c r="K177" s="28" t="s">
        <v>32</v>
      </c>
      <c r="L177" s="28" t="s">
        <v>32</v>
      </c>
      <c r="M177" s="3" t="s">
        <v>1289</v>
      </c>
      <c r="N177" s="9" t="s">
        <v>32</v>
      </c>
      <c r="O177" s="9" t="s">
        <v>32</v>
      </c>
      <c r="P177" s="9" t="s">
        <v>32</v>
      </c>
      <c r="Q177" s="9" t="s">
        <v>32</v>
      </c>
      <c r="R177" s="9" t="s">
        <v>32</v>
      </c>
    </row>
    <row r="178" spans="1:18" ht="20.100000000000001" customHeight="1" x14ac:dyDescent="0.25">
      <c r="A178" s="7"/>
      <c r="B178" s="9" t="s">
        <v>632</v>
      </c>
      <c r="C178" s="9"/>
      <c r="D178" s="9" t="s">
        <v>633</v>
      </c>
      <c r="E178" s="9" t="s">
        <v>320</v>
      </c>
      <c r="F178" s="9" t="s">
        <v>634</v>
      </c>
      <c r="G178" s="7">
        <v>5</v>
      </c>
      <c r="H178" s="9" t="s">
        <v>32</v>
      </c>
      <c r="I178" s="9">
        <f t="shared" si="4"/>
        <v>745</v>
      </c>
      <c r="J178" s="9">
        <f t="shared" si="5"/>
        <v>149</v>
      </c>
      <c r="K178" s="28" t="s">
        <v>32</v>
      </c>
      <c r="L178" s="3" t="s">
        <v>1289</v>
      </c>
      <c r="M178" s="28" t="s">
        <v>32</v>
      </c>
      <c r="N178" s="9" t="s">
        <v>32</v>
      </c>
      <c r="O178" s="9" t="s">
        <v>32</v>
      </c>
      <c r="P178" s="9" t="s">
        <v>32</v>
      </c>
      <c r="Q178" s="9" t="s">
        <v>32</v>
      </c>
      <c r="R178" s="9" t="s">
        <v>32</v>
      </c>
    </row>
    <row r="179" spans="1:18" ht="20.100000000000001" customHeight="1" x14ac:dyDescent="0.25">
      <c r="A179" s="32">
        <v>658</v>
      </c>
      <c r="B179" s="33" t="s">
        <v>635</v>
      </c>
      <c r="C179" s="33"/>
      <c r="D179" s="33" t="s">
        <v>636</v>
      </c>
      <c r="E179" s="33" t="s">
        <v>619</v>
      </c>
      <c r="F179" s="33" t="s">
        <v>637</v>
      </c>
      <c r="G179" s="32">
        <v>1</v>
      </c>
      <c r="H179" s="34" t="s">
        <v>1296</v>
      </c>
      <c r="I179" s="33">
        <f t="shared" si="4"/>
        <v>159</v>
      </c>
      <c r="J179" s="33">
        <f t="shared" si="5"/>
        <v>159</v>
      </c>
      <c r="K179" s="35" t="s">
        <v>1289</v>
      </c>
      <c r="L179" s="36" t="s">
        <v>32</v>
      </c>
      <c r="M179" s="36" t="s">
        <v>32</v>
      </c>
      <c r="N179" s="33" t="s">
        <v>32</v>
      </c>
      <c r="O179" s="33" t="s">
        <v>32</v>
      </c>
      <c r="P179" s="33" t="s">
        <v>32</v>
      </c>
      <c r="Q179" s="33" t="s">
        <v>32</v>
      </c>
      <c r="R179" s="33" t="s">
        <v>32</v>
      </c>
    </row>
    <row r="180" spans="1:18" ht="20.100000000000001" customHeight="1" x14ac:dyDescent="0.25">
      <c r="A180" s="32"/>
      <c r="B180" s="33" t="s">
        <v>638</v>
      </c>
      <c r="C180" s="33"/>
      <c r="D180" s="33" t="s">
        <v>639</v>
      </c>
      <c r="E180" s="33" t="s">
        <v>166</v>
      </c>
      <c r="F180" s="33" t="s">
        <v>640</v>
      </c>
      <c r="G180" s="32">
        <v>1</v>
      </c>
      <c r="H180" s="33" t="s">
        <v>32</v>
      </c>
      <c r="I180" s="33">
        <f t="shared" si="4"/>
        <v>144</v>
      </c>
      <c r="J180" s="33">
        <f t="shared" si="5"/>
        <v>144</v>
      </c>
      <c r="K180" s="36" t="s">
        <v>32</v>
      </c>
      <c r="L180" s="35"/>
      <c r="M180" s="35" t="s">
        <v>1289</v>
      </c>
      <c r="N180" s="33" t="s">
        <v>32</v>
      </c>
      <c r="O180" s="33" t="s">
        <v>32</v>
      </c>
      <c r="P180" s="33" t="s">
        <v>32</v>
      </c>
      <c r="Q180" s="33" t="s">
        <v>32</v>
      </c>
      <c r="R180" s="33" t="s">
        <v>32</v>
      </c>
    </row>
    <row r="181" spans="1:18" ht="20.100000000000001" customHeight="1" x14ac:dyDescent="0.25">
      <c r="A181" s="32"/>
      <c r="B181" s="33" t="s">
        <v>641</v>
      </c>
      <c r="C181" s="33"/>
      <c r="D181" s="33" t="s">
        <v>642</v>
      </c>
      <c r="E181" s="33" t="s">
        <v>643</v>
      </c>
      <c r="F181" s="33" t="s">
        <v>644</v>
      </c>
      <c r="G181" s="32">
        <v>1</v>
      </c>
      <c r="H181" s="33" t="s">
        <v>32</v>
      </c>
      <c r="I181" s="33">
        <f t="shared" si="4"/>
        <v>149</v>
      </c>
      <c r="J181" s="33">
        <f t="shared" si="5"/>
        <v>149</v>
      </c>
      <c r="K181" s="36" t="s">
        <v>32</v>
      </c>
      <c r="L181" s="35" t="s">
        <v>1289</v>
      </c>
      <c r="M181" s="35"/>
      <c r="N181" s="33" t="s">
        <v>32</v>
      </c>
      <c r="O181" s="33" t="s">
        <v>32</v>
      </c>
      <c r="P181" s="33" t="s">
        <v>32</v>
      </c>
      <c r="Q181" s="33" t="s">
        <v>32</v>
      </c>
      <c r="R181" s="33" t="s">
        <v>32</v>
      </c>
    </row>
    <row r="182" spans="1:18" ht="20.100000000000001" customHeight="1" x14ac:dyDescent="0.25">
      <c r="A182" s="7">
        <v>663</v>
      </c>
      <c r="B182" s="9" t="s">
        <v>645</v>
      </c>
      <c r="C182" s="9"/>
      <c r="D182" s="9" t="s">
        <v>646</v>
      </c>
      <c r="E182" s="9" t="s">
        <v>131</v>
      </c>
      <c r="F182" s="9" t="s">
        <v>647</v>
      </c>
      <c r="G182" s="7">
        <v>3</v>
      </c>
      <c r="H182" s="25" t="s">
        <v>1297</v>
      </c>
      <c r="I182" s="9">
        <f t="shared" si="4"/>
        <v>477</v>
      </c>
      <c r="J182" s="9">
        <f t="shared" si="5"/>
        <v>159</v>
      </c>
      <c r="K182" s="3" t="s">
        <v>1289</v>
      </c>
      <c r="L182" s="28" t="s">
        <v>32</v>
      </c>
      <c r="M182" s="28" t="s">
        <v>32</v>
      </c>
      <c r="N182" s="9" t="s">
        <v>32</v>
      </c>
      <c r="O182" s="9" t="s">
        <v>32</v>
      </c>
      <c r="P182" s="9" t="s">
        <v>32</v>
      </c>
      <c r="Q182" s="9" t="s">
        <v>32</v>
      </c>
      <c r="R182" s="9" t="s">
        <v>32</v>
      </c>
    </row>
    <row r="183" spans="1:18" ht="20.100000000000001" customHeight="1" x14ac:dyDescent="0.25">
      <c r="A183" s="7"/>
      <c r="B183" s="9" t="s">
        <v>648</v>
      </c>
      <c r="C183" s="9"/>
      <c r="D183" s="9" t="s">
        <v>649</v>
      </c>
      <c r="E183" s="9" t="s">
        <v>619</v>
      </c>
      <c r="F183" s="9" t="s">
        <v>650</v>
      </c>
      <c r="G183" s="7">
        <v>3</v>
      </c>
      <c r="H183" s="9" t="s">
        <v>32</v>
      </c>
      <c r="I183" s="9">
        <f t="shared" si="4"/>
        <v>432</v>
      </c>
      <c r="J183" s="9">
        <f t="shared" si="5"/>
        <v>144</v>
      </c>
      <c r="K183" s="28" t="s">
        <v>32</v>
      </c>
      <c r="L183" s="28" t="s">
        <v>32</v>
      </c>
      <c r="M183" s="3" t="s">
        <v>1289</v>
      </c>
      <c r="N183" s="9" t="s">
        <v>32</v>
      </c>
      <c r="O183" s="9" t="s">
        <v>32</v>
      </c>
      <c r="P183" s="9" t="s">
        <v>32</v>
      </c>
      <c r="Q183" s="9" t="s">
        <v>32</v>
      </c>
      <c r="R183" s="9" t="s">
        <v>32</v>
      </c>
    </row>
    <row r="184" spans="1:18" ht="20.100000000000001" customHeight="1" x14ac:dyDescent="0.25">
      <c r="A184" s="7"/>
      <c r="B184" s="9" t="s">
        <v>651</v>
      </c>
      <c r="C184" s="9"/>
      <c r="D184" s="9" t="s">
        <v>652</v>
      </c>
      <c r="E184" s="9" t="s">
        <v>320</v>
      </c>
      <c r="F184" s="9" t="s">
        <v>653</v>
      </c>
      <c r="G184" s="7">
        <v>3</v>
      </c>
      <c r="H184" s="9" t="s">
        <v>32</v>
      </c>
      <c r="I184" s="9">
        <f t="shared" si="4"/>
        <v>447</v>
      </c>
      <c r="J184" s="9">
        <f t="shared" si="5"/>
        <v>149</v>
      </c>
      <c r="K184" s="28" t="s">
        <v>32</v>
      </c>
      <c r="L184" s="3" t="s">
        <v>1289</v>
      </c>
      <c r="M184" s="28" t="s">
        <v>32</v>
      </c>
      <c r="N184" s="9" t="s">
        <v>32</v>
      </c>
      <c r="O184" s="9" t="s">
        <v>32</v>
      </c>
      <c r="P184" s="9" t="s">
        <v>32</v>
      </c>
      <c r="Q184" s="9" t="s">
        <v>32</v>
      </c>
      <c r="R184" s="9" t="s">
        <v>32</v>
      </c>
    </row>
    <row r="185" spans="1:18" ht="20.100000000000001" customHeight="1" x14ac:dyDescent="0.25">
      <c r="A185" s="8">
        <v>848</v>
      </c>
      <c r="B185" s="10" t="s">
        <v>654</v>
      </c>
      <c r="C185" s="10"/>
      <c r="D185" s="10" t="s">
        <v>655</v>
      </c>
      <c r="E185" s="10" t="s">
        <v>656</v>
      </c>
      <c r="F185" s="10" t="s">
        <v>657</v>
      </c>
      <c r="G185" s="8">
        <v>1</v>
      </c>
      <c r="H185" s="10" t="s">
        <v>658</v>
      </c>
      <c r="I185" s="10">
        <f t="shared" si="4"/>
        <v>452</v>
      </c>
      <c r="J185" s="10">
        <f t="shared" si="5"/>
        <v>452</v>
      </c>
      <c r="K185" s="30" t="s">
        <v>1289</v>
      </c>
      <c r="L185" s="30" t="s">
        <v>1289</v>
      </c>
      <c r="M185" s="30" t="s">
        <v>1289</v>
      </c>
      <c r="N185" s="10" t="s">
        <v>32</v>
      </c>
      <c r="O185" s="10" t="s">
        <v>32</v>
      </c>
      <c r="P185" s="10" t="s">
        <v>32</v>
      </c>
      <c r="Q185" s="10" t="s">
        <v>32</v>
      </c>
      <c r="R185" s="10" t="s">
        <v>32</v>
      </c>
    </row>
    <row r="186" spans="1:18" ht="20.100000000000001" customHeight="1" x14ac:dyDescent="0.25">
      <c r="A186" s="7">
        <v>850</v>
      </c>
      <c r="B186" s="9" t="s">
        <v>659</v>
      </c>
      <c r="C186" s="9"/>
      <c r="D186" s="9" t="s">
        <v>660</v>
      </c>
      <c r="E186" s="9" t="s">
        <v>656</v>
      </c>
      <c r="F186" s="9" t="s">
        <v>661</v>
      </c>
      <c r="G186" s="7">
        <v>8</v>
      </c>
      <c r="H186" s="25" t="s">
        <v>1299</v>
      </c>
      <c r="I186" s="9">
        <f t="shared" si="4"/>
        <v>3616</v>
      </c>
      <c r="J186" s="9">
        <f t="shared" si="5"/>
        <v>452</v>
      </c>
      <c r="K186" s="3" t="s">
        <v>1289</v>
      </c>
      <c r="L186" s="3" t="s">
        <v>1289</v>
      </c>
      <c r="M186" s="3" t="s">
        <v>1289</v>
      </c>
      <c r="N186" s="9" t="s">
        <v>32</v>
      </c>
      <c r="O186" s="9" t="s">
        <v>32</v>
      </c>
      <c r="P186" s="9" t="s">
        <v>32</v>
      </c>
      <c r="Q186" s="9" t="s">
        <v>32</v>
      </c>
      <c r="R186" s="9" t="s">
        <v>32</v>
      </c>
    </row>
    <row r="187" spans="1:18" ht="20.100000000000001" customHeight="1" x14ac:dyDescent="0.25">
      <c r="A187" s="8">
        <v>852</v>
      </c>
      <c r="B187" s="10" t="s">
        <v>662</v>
      </c>
      <c r="C187" s="10"/>
      <c r="D187" s="10" t="s">
        <v>663</v>
      </c>
      <c r="E187" s="10" t="s">
        <v>131</v>
      </c>
      <c r="F187" s="10" t="s">
        <v>664</v>
      </c>
      <c r="G187" s="8">
        <v>4</v>
      </c>
      <c r="H187" s="10" t="s">
        <v>665</v>
      </c>
      <c r="I187" s="10">
        <f t="shared" si="4"/>
        <v>636</v>
      </c>
      <c r="J187" s="10">
        <f t="shared" si="5"/>
        <v>159</v>
      </c>
      <c r="K187" s="30" t="s">
        <v>1289</v>
      </c>
      <c r="L187" s="29" t="s">
        <v>32</v>
      </c>
      <c r="M187" s="29" t="s">
        <v>32</v>
      </c>
      <c r="N187" s="10" t="s">
        <v>32</v>
      </c>
      <c r="O187" s="10" t="s">
        <v>32</v>
      </c>
      <c r="P187" s="10" t="s">
        <v>32</v>
      </c>
      <c r="Q187" s="10" t="s">
        <v>32</v>
      </c>
      <c r="R187" s="10" t="s">
        <v>32</v>
      </c>
    </row>
    <row r="188" spans="1:18" ht="20.100000000000001" customHeight="1" x14ac:dyDescent="0.25">
      <c r="A188" s="8"/>
      <c r="B188" s="10" t="s">
        <v>666</v>
      </c>
      <c r="C188" s="10"/>
      <c r="D188" s="10" t="s">
        <v>667</v>
      </c>
      <c r="E188" s="10" t="s">
        <v>668</v>
      </c>
      <c r="F188" s="10" t="s">
        <v>669</v>
      </c>
      <c r="G188" s="8">
        <v>4</v>
      </c>
      <c r="H188" s="10" t="s">
        <v>32</v>
      </c>
      <c r="I188" s="10">
        <f t="shared" si="4"/>
        <v>576</v>
      </c>
      <c r="J188" s="10">
        <f t="shared" si="5"/>
        <v>144</v>
      </c>
      <c r="K188" s="29" t="s">
        <v>32</v>
      </c>
      <c r="L188" s="29" t="s">
        <v>32</v>
      </c>
      <c r="M188" s="30" t="s">
        <v>1289</v>
      </c>
      <c r="N188" s="10" t="s">
        <v>32</v>
      </c>
      <c r="O188" s="10" t="s">
        <v>32</v>
      </c>
      <c r="P188" s="10" t="s">
        <v>32</v>
      </c>
      <c r="Q188" s="10" t="s">
        <v>32</v>
      </c>
      <c r="R188" s="10" t="s">
        <v>32</v>
      </c>
    </row>
    <row r="189" spans="1:18" ht="20.100000000000001" customHeight="1" x14ac:dyDescent="0.25">
      <c r="A189" s="8"/>
      <c r="B189" s="10" t="s">
        <v>670</v>
      </c>
      <c r="C189" s="10"/>
      <c r="D189" s="10" t="s">
        <v>671</v>
      </c>
      <c r="E189" s="10" t="s">
        <v>672</v>
      </c>
      <c r="F189" s="10" t="s">
        <v>673</v>
      </c>
      <c r="G189" s="8">
        <v>4</v>
      </c>
      <c r="H189" s="10" t="s">
        <v>32</v>
      </c>
      <c r="I189" s="10">
        <f t="shared" si="4"/>
        <v>596</v>
      </c>
      <c r="J189" s="10">
        <f t="shared" si="5"/>
        <v>149</v>
      </c>
      <c r="K189" s="29" t="s">
        <v>32</v>
      </c>
      <c r="L189" s="30" t="s">
        <v>1289</v>
      </c>
      <c r="M189" s="29" t="s">
        <v>32</v>
      </c>
      <c r="N189" s="10" t="s">
        <v>32</v>
      </c>
      <c r="O189" s="10" t="s">
        <v>32</v>
      </c>
      <c r="P189" s="10" t="s">
        <v>32</v>
      </c>
      <c r="Q189" s="10" t="s">
        <v>32</v>
      </c>
      <c r="R189" s="10" t="s">
        <v>32</v>
      </c>
    </row>
    <row r="190" spans="1:18" ht="20.100000000000001" customHeight="1" x14ac:dyDescent="0.25">
      <c r="A190" s="7">
        <v>855</v>
      </c>
      <c r="B190" s="9" t="s">
        <v>674</v>
      </c>
      <c r="C190" s="9"/>
      <c r="D190" s="9" t="s">
        <v>675</v>
      </c>
      <c r="E190" s="9" t="s">
        <v>131</v>
      </c>
      <c r="F190" s="9" t="s">
        <v>676</v>
      </c>
      <c r="G190" s="7">
        <v>1</v>
      </c>
      <c r="H190" s="9" t="s">
        <v>677</v>
      </c>
      <c r="I190" s="9">
        <f t="shared" si="4"/>
        <v>159</v>
      </c>
      <c r="J190" s="9">
        <f t="shared" si="5"/>
        <v>159</v>
      </c>
      <c r="K190" s="3" t="s">
        <v>1289</v>
      </c>
      <c r="L190" s="28" t="s">
        <v>32</v>
      </c>
      <c r="M190" s="28" t="s">
        <v>32</v>
      </c>
      <c r="N190" s="9" t="s">
        <v>32</v>
      </c>
      <c r="O190" s="9" t="s">
        <v>32</v>
      </c>
      <c r="P190" s="9" t="s">
        <v>32</v>
      </c>
      <c r="Q190" s="9" t="s">
        <v>32</v>
      </c>
      <c r="R190" s="9" t="s">
        <v>32</v>
      </c>
    </row>
    <row r="191" spans="1:18" ht="20.100000000000001" customHeight="1" x14ac:dyDescent="0.25">
      <c r="A191" s="7"/>
      <c r="B191" s="9" t="s">
        <v>678</v>
      </c>
      <c r="C191" s="9"/>
      <c r="D191" s="9" t="s">
        <v>679</v>
      </c>
      <c r="E191" s="9" t="s">
        <v>668</v>
      </c>
      <c r="F191" s="9" t="s">
        <v>680</v>
      </c>
      <c r="G191" s="7">
        <v>1</v>
      </c>
      <c r="H191" s="9" t="s">
        <v>32</v>
      </c>
      <c r="I191" s="9">
        <f t="shared" si="4"/>
        <v>144</v>
      </c>
      <c r="J191" s="9">
        <f t="shared" si="5"/>
        <v>144</v>
      </c>
      <c r="K191" s="28" t="s">
        <v>32</v>
      </c>
      <c r="L191" s="28" t="s">
        <v>32</v>
      </c>
      <c r="M191" s="3" t="s">
        <v>1289</v>
      </c>
      <c r="N191" s="9" t="s">
        <v>32</v>
      </c>
      <c r="O191" s="9" t="s">
        <v>32</v>
      </c>
      <c r="P191" s="9" t="s">
        <v>32</v>
      </c>
      <c r="Q191" s="9" t="s">
        <v>32</v>
      </c>
      <c r="R191" s="9" t="s">
        <v>32</v>
      </c>
    </row>
    <row r="192" spans="1:18" ht="20.100000000000001" customHeight="1" x14ac:dyDescent="0.25">
      <c r="A192" s="7"/>
      <c r="B192" s="9" t="s">
        <v>681</v>
      </c>
      <c r="C192" s="9"/>
      <c r="D192" s="9" t="s">
        <v>682</v>
      </c>
      <c r="E192" s="9" t="s">
        <v>672</v>
      </c>
      <c r="F192" s="9" t="s">
        <v>683</v>
      </c>
      <c r="G192" s="7">
        <v>1</v>
      </c>
      <c r="H192" s="9" t="s">
        <v>32</v>
      </c>
      <c r="I192" s="9">
        <f t="shared" si="4"/>
        <v>149</v>
      </c>
      <c r="J192" s="9">
        <f t="shared" si="5"/>
        <v>149</v>
      </c>
      <c r="K192" s="28" t="s">
        <v>32</v>
      </c>
      <c r="L192" s="3" t="s">
        <v>1289</v>
      </c>
      <c r="M192" s="28" t="s">
        <v>32</v>
      </c>
      <c r="N192" s="9" t="s">
        <v>32</v>
      </c>
      <c r="O192" s="9" t="s">
        <v>32</v>
      </c>
      <c r="P192" s="9" t="s">
        <v>32</v>
      </c>
      <c r="Q192" s="9" t="s">
        <v>32</v>
      </c>
      <c r="R192" s="9" t="s">
        <v>32</v>
      </c>
    </row>
    <row r="193" spans="1:18" ht="20.100000000000001" customHeight="1" x14ac:dyDescent="0.25">
      <c r="A193" s="32">
        <v>856</v>
      </c>
      <c r="B193" s="33" t="s">
        <v>684</v>
      </c>
      <c r="C193" s="33"/>
      <c r="D193" s="33" t="s">
        <v>685</v>
      </c>
      <c r="E193" s="33" t="s">
        <v>686</v>
      </c>
      <c r="F193" s="33" t="s">
        <v>687</v>
      </c>
      <c r="G193" s="32">
        <v>1</v>
      </c>
      <c r="H193" s="33" t="s">
        <v>688</v>
      </c>
      <c r="I193" s="33">
        <f t="shared" si="4"/>
        <v>159</v>
      </c>
      <c r="J193" s="33">
        <f t="shared" si="5"/>
        <v>159</v>
      </c>
      <c r="K193" s="35" t="s">
        <v>1289</v>
      </c>
      <c r="L193" s="36" t="s">
        <v>32</v>
      </c>
      <c r="M193" s="36" t="s">
        <v>32</v>
      </c>
      <c r="N193" s="33" t="s">
        <v>32</v>
      </c>
      <c r="O193" s="33" t="s">
        <v>32</v>
      </c>
      <c r="P193" s="33" t="s">
        <v>32</v>
      </c>
      <c r="Q193" s="33" t="s">
        <v>32</v>
      </c>
      <c r="R193" s="33" t="s">
        <v>32</v>
      </c>
    </row>
    <row r="194" spans="1:18" ht="20.100000000000001" customHeight="1" x14ac:dyDescent="0.25">
      <c r="A194" s="32"/>
      <c r="B194" s="33" t="s">
        <v>689</v>
      </c>
      <c r="C194" s="33"/>
      <c r="D194" s="33" t="s">
        <v>690</v>
      </c>
      <c r="E194" s="33" t="s">
        <v>230</v>
      </c>
      <c r="F194" s="33" t="s">
        <v>691</v>
      </c>
      <c r="G194" s="32">
        <v>1</v>
      </c>
      <c r="H194" s="33" t="s">
        <v>32</v>
      </c>
      <c r="I194" s="33">
        <f t="shared" si="4"/>
        <v>144</v>
      </c>
      <c r="J194" s="33">
        <f t="shared" si="5"/>
        <v>144</v>
      </c>
      <c r="K194" s="36" t="s">
        <v>32</v>
      </c>
      <c r="L194" s="35"/>
      <c r="M194" s="35" t="s">
        <v>1289</v>
      </c>
      <c r="N194" s="33" t="s">
        <v>32</v>
      </c>
      <c r="O194" s="33" t="s">
        <v>32</v>
      </c>
      <c r="P194" s="33" t="s">
        <v>32</v>
      </c>
      <c r="Q194" s="33" t="s">
        <v>32</v>
      </c>
      <c r="R194" s="33" t="s">
        <v>32</v>
      </c>
    </row>
    <row r="195" spans="1:18" ht="20.100000000000001" customHeight="1" x14ac:dyDescent="0.25">
      <c r="A195" s="32"/>
      <c r="B195" s="33" t="s">
        <v>692</v>
      </c>
      <c r="C195" s="33"/>
      <c r="D195" s="33" t="s">
        <v>693</v>
      </c>
      <c r="E195" s="33" t="s">
        <v>45</v>
      </c>
      <c r="F195" s="33" t="s">
        <v>694</v>
      </c>
      <c r="G195" s="32">
        <v>1</v>
      </c>
      <c r="H195" s="33" t="s">
        <v>32</v>
      </c>
      <c r="I195" s="33">
        <f t="shared" si="4"/>
        <v>149</v>
      </c>
      <c r="J195" s="33">
        <f t="shared" si="5"/>
        <v>149</v>
      </c>
      <c r="K195" s="36" t="s">
        <v>32</v>
      </c>
      <c r="L195" s="35" t="s">
        <v>1289</v>
      </c>
      <c r="M195" s="35"/>
      <c r="N195" s="33" t="s">
        <v>32</v>
      </c>
      <c r="O195" s="33" t="s">
        <v>32</v>
      </c>
      <c r="P195" s="33" t="s">
        <v>32</v>
      </c>
      <c r="Q195" s="33" t="s">
        <v>32</v>
      </c>
      <c r="R195" s="33" t="s">
        <v>32</v>
      </c>
    </row>
    <row r="196" spans="1:18" ht="20.100000000000001" customHeight="1" x14ac:dyDescent="0.25">
      <c r="A196" s="7">
        <v>857</v>
      </c>
      <c r="B196" s="9" t="s">
        <v>695</v>
      </c>
      <c r="C196" s="9"/>
      <c r="D196" s="9" t="s">
        <v>696</v>
      </c>
      <c r="E196" s="9" t="s">
        <v>686</v>
      </c>
      <c r="F196" s="9" t="s">
        <v>697</v>
      </c>
      <c r="G196" s="7">
        <v>1</v>
      </c>
      <c r="H196" s="9" t="s">
        <v>698</v>
      </c>
      <c r="I196" s="9">
        <f t="shared" si="4"/>
        <v>159</v>
      </c>
      <c r="J196" s="9">
        <f t="shared" si="5"/>
        <v>159</v>
      </c>
      <c r="K196" s="3" t="s">
        <v>1289</v>
      </c>
      <c r="L196" s="28" t="s">
        <v>32</v>
      </c>
      <c r="M196" s="28" t="s">
        <v>32</v>
      </c>
      <c r="N196" s="9" t="s">
        <v>32</v>
      </c>
      <c r="O196" s="9" t="s">
        <v>32</v>
      </c>
      <c r="P196" s="9" t="s">
        <v>32</v>
      </c>
      <c r="Q196" s="9" t="s">
        <v>32</v>
      </c>
      <c r="R196" s="9" t="s">
        <v>32</v>
      </c>
    </row>
    <row r="197" spans="1:18" ht="20.100000000000001" customHeight="1" x14ac:dyDescent="0.25">
      <c r="A197" s="7"/>
      <c r="B197" s="9" t="s">
        <v>699</v>
      </c>
      <c r="C197" s="9"/>
      <c r="D197" s="9" t="s">
        <v>700</v>
      </c>
      <c r="E197" s="9" t="s">
        <v>230</v>
      </c>
      <c r="F197" s="9" t="s">
        <v>701</v>
      </c>
      <c r="G197" s="7">
        <v>1</v>
      </c>
      <c r="H197" s="9" t="s">
        <v>32</v>
      </c>
      <c r="I197" s="9">
        <f t="shared" si="4"/>
        <v>149</v>
      </c>
      <c r="J197" s="9">
        <f t="shared" si="5"/>
        <v>149</v>
      </c>
      <c r="K197" s="28" t="s">
        <v>32</v>
      </c>
      <c r="L197" s="3" t="s">
        <v>1289</v>
      </c>
      <c r="M197" s="3"/>
      <c r="N197" s="9" t="s">
        <v>32</v>
      </c>
      <c r="O197" s="9" t="s">
        <v>32</v>
      </c>
      <c r="P197" s="9" t="s">
        <v>32</v>
      </c>
      <c r="Q197" s="9" t="s">
        <v>32</v>
      </c>
      <c r="R197" s="9" t="s">
        <v>32</v>
      </c>
    </row>
    <row r="198" spans="1:18" ht="20.100000000000001" customHeight="1" x14ac:dyDescent="0.25">
      <c r="A198" s="7"/>
      <c r="B198" s="9" t="s">
        <v>702</v>
      </c>
      <c r="C198" s="9"/>
      <c r="D198" s="9" t="s">
        <v>703</v>
      </c>
      <c r="E198" s="9" t="s">
        <v>668</v>
      </c>
      <c r="F198" s="9" t="s">
        <v>704</v>
      </c>
      <c r="G198" s="7">
        <v>1</v>
      </c>
      <c r="H198" s="9" t="s">
        <v>32</v>
      </c>
      <c r="I198" s="9">
        <f t="shared" ref="I198:I261" si="6">G198*J198</f>
        <v>144</v>
      </c>
      <c r="J198" s="9">
        <f t="shared" ref="J198:J261" si="7">IF(EXACT(K198,"V"),$K$5,0)+IF(EXACT(L198,"V"),$L$5,0)+IF(EXACT(M198,"V"),$M$5,0)+IF(EXACT(N198,"V"),$N$5,0)+IF(EXACT(O198,"V"),$O$5,0)+IF(EXACT(P198,"V"),$P$5,0)+IF(EXACT(Q198,"V"),$Q$5,0)</f>
        <v>144</v>
      </c>
      <c r="K198" s="28" t="s">
        <v>32</v>
      </c>
      <c r="L198" s="3"/>
      <c r="M198" s="3" t="s">
        <v>1289</v>
      </c>
      <c r="N198" s="9" t="s">
        <v>32</v>
      </c>
      <c r="O198" s="9" t="s">
        <v>32</v>
      </c>
      <c r="P198" s="9" t="s">
        <v>32</v>
      </c>
      <c r="Q198" s="9" t="s">
        <v>32</v>
      </c>
      <c r="R198" s="9" t="s">
        <v>32</v>
      </c>
    </row>
    <row r="199" spans="1:18" ht="20.100000000000001" customHeight="1" x14ac:dyDescent="0.25">
      <c r="A199" s="8">
        <v>859</v>
      </c>
      <c r="B199" s="10" t="s">
        <v>705</v>
      </c>
      <c r="C199" s="10"/>
      <c r="D199" s="10" t="s">
        <v>706</v>
      </c>
      <c r="E199" s="10" t="s">
        <v>656</v>
      </c>
      <c r="F199" s="10" t="s">
        <v>707</v>
      </c>
      <c r="G199" s="8">
        <v>1</v>
      </c>
      <c r="H199" s="10" t="s">
        <v>708</v>
      </c>
      <c r="I199" s="10">
        <f t="shared" si="6"/>
        <v>452</v>
      </c>
      <c r="J199" s="10">
        <f t="shared" si="7"/>
        <v>452</v>
      </c>
      <c r="K199" s="30" t="s">
        <v>1289</v>
      </c>
      <c r="L199" s="30" t="s">
        <v>1289</v>
      </c>
      <c r="M199" s="30" t="s">
        <v>1289</v>
      </c>
      <c r="N199" s="10" t="s">
        <v>32</v>
      </c>
      <c r="O199" s="10" t="s">
        <v>32</v>
      </c>
      <c r="P199" s="10" t="s">
        <v>32</v>
      </c>
      <c r="Q199" s="10" t="s">
        <v>32</v>
      </c>
      <c r="R199" s="10" t="s">
        <v>32</v>
      </c>
    </row>
    <row r="200" spans="1:18" ht="20.100000000000001" customHeight="1" x14ac:dyDescent="0.25">
      <c r="A200" s="7">
        <v>861</v>
      </c>
      <c r="B200" s="9" t="s">
        <v>709</v>
      </c>
      <c r="C200" s="9"/>
      <c r="D200" s="9" t="s">
        <v>710</v>
      </c>
      <c r="E200" s="9" t="s">
        <v>686</v>
      </c>
      <c r="F200" s="9" t="s">
        <v>711</v>
      </c>
      <c r="G200" s="7">
        <v>1</v>
      </c>
      <c r="H200" s="9" t="s">
        <v>712</v>
      </c>
      <c r="I200" s="9">
        <f t="shared" si="6"/>
        <v>159</v>
      </c>
      <c r="J200" s="9">
        <f t="shared" si="7"/>
        <v>159</v>
      </c>
      <c r="K200" s="3" t="s">
        <v>1289</v>
      </c>
      <c r="L200" s="28" t="s">
        <v>32</v>
      </c>
      <c r="M200" s="28" t="s">
        <v>32</v>
      </c>
      <c r="N200" s="9" t="s">
        <v>32</v>
      </c>
      <c r="O200" s="9" t="s">
        <v>32</v>
      </c>
      <c r="P200" s="9" t="s">
        <v>32</v>
      </c>
      <c r="Q200" s="9" t="s">
        <v>32</v>
      </c>
      <c r="R200" s="9" t="s">
        <v>32</v>
      </c>
    </row>
    <row r="201" spans="1:18" ht="20.100000000000001" customHeight="1" x14ac:dyDescent="0.25">
      <c r="A201" s="7"/>
      <c r="B201" s="9" t="s">
        <v>713</v>
      </c>
      <c r="C201" s="9"/>
      <c r="D201" s="9" t="s">
        <v>714</v>
      </c>
      <c r="E201" s="9" t="s">
        <v>230</v>
      </c>
      <c r="F201" s="9" t="s">
        <v>715</v>
      </c>
      <c r="G201" s="7">
        <v>1</v>
      </c>
      <c r="H201" s="9" t="s">
        <v>32</v>
      </c>
      <c r="I201" s="9">
        <f t="shared" si="6"/>
        <v>149</v>
      </c>
      <c r="J201" s="9">
        <f t="shared" si="7"/>
        <v>149</v>
      </c>
      <c r="K201" s="28" t="s">
        <v>32</v>
      </c>
      <c r="L201" s="3" t="s">
        <v>1289</v>
      </c>
      <c r="M201" s="3"/>
      <c r="N201" s="9" t="s">
        <v>32</v>
      </c>
      <c r="O201" s="9" t="s">
        <v>32</v>
      </c>
      <c r="P201" s="9" t="s">
        <v>32</v>
      </c>
      <c r="Q201" s="9" t="s">
        <v>32</v>
      </c>
      <c r="R201" s="9" t="s">
        <v>32</v>
      </c>
    </row>
    <row r="202" spans="1:18" ht="20.100000000000001" customHeight="1" x14ac:dyDescent="0.25">
      <c r="A202" s="7"/>
      <c r="B202" s="9" t="s">
        <v>716</v>
      </c>
      <c r="C202" s="9"/>
      <c r="D202" s="9" t="s">
        <v>717</v>
      </c>
      <c r="E202" s="9" t="s">
        <v>668</v>
      </c>
      <c r="F202" s="9" t="s">
        <v>718</v>
      </c>
      <c r="G202" s="7">
        <v>1</v>
      </c>
      <c r="H202" s="9" t="s">
        <v>32</v>
      </c>
      <c r="I202" s="9">
        <f t="shared" si="6"/>
        <v>144</v>
      </c>
      <c r="J202" s="9">
        <f t="shared" si="7"/>
        <v>144</v>
      </c>
      <c r="K202" s="28" t="s">
        <v>32</v>
      </c>
      <c r="L202" s="3"/>
      <c r="M202" s="3" t="s">
        <v>1289</v>
      </c>
      <c r="N202" s="9" t="s">
        <v>32</v>
      </c>
      <c r="O202" s="9" t="s">
        <v>32</v>
      </c>
      <c r="P202" s="9" t="s">
        <v>32</v>
      </c>
      <c r="Q202" s="9" t="s">
        <v>32</v>
      </c>
      <c r="R202" s="9" t="s">
        <v>32</v>
      </c>
    </row>
    <row r="203" spans="1:18" ht="20.100000000000001" customHeight="1" x14ac:dyDescent="0.25">
      <c r="A203" s="8">
        <v>871</v>
      </c>
      <c r="B203" s="10" t="s">
        <v>719</v>
      </c>
      <c r="C203" s="10"/>
      <c r="D203" s="10" t="s">
        <v>720</v>
      </c>
      <c r="E203" s="10" t="s">
        <v>199</v>
      </c>
      <c r="F203" s="10" t="s">
        <v>721</v>
      </c>
      <c r="G203" s="8">
        <v>1</v>
      </c>
      <c r="H203" s="10" t="s">
        <v>722</v>
      </c>
      <c r="I203" s="10">
        <f t="shared" si="6"/>
        <v>303</v>
      </c>
      <c r="J203" s="10">
        <f t="shared" si="7"/>
        <v>303</v>
      </c>
      <c r="K203" s="30" t="s">
        <v>1289</v>
      </c>
      <c r="L203" s="29" t="s">
        <v>32</v>
      </c>
      <c r="M203" s="30" t="s">
        <v>1289</v>
      </c>
      <c r="N203" s="10" t="s">
        <v>32</v>
      </c>
      <c r="O203" s="10" t="s">
        <v>32</v>
      </c>
      <c r="P203" s="10" t="s">
        <v>32</v>
      </c>
      <c r="Q203" s="10" t="s">
        <v>32</v>
      </c>
      <c r="R203" s="10" t="s">
        <v>32</v>
      </c>
    </row>
    <row r="204" spans="1:18" ht="20.100000000000001" customHeight="1" x14ac:dyDescent="0.25">
      <c r="A204" s="8"/>
      <c r="B204" s="10" t="s">
        <v>723</v>
      </c>
      <c r="C204" s="10"/>
      <c r="D204" s="10" t="s">
        <v>720</v>
      </c>
      <c r="E204" s="10" t="s">
        <v>724</v>
      </c>
      <c r="F204" s="10" t="s">
        <v>725</v>
      </c>
      <c r="G204" s="8">
        <v>1</v>
      </c>
      <c r="H204" s="10" t="s">
        <v>32</v>
      </c>
      <c r="I204" s="10">
        <f t="shared" si="6"/>
        <v>149</v>
      </c>
      <c r="J204" s="10">
        <f t="shared" si="7"/>
        <v>149</v>
      </c>
      <c r="K204" s="29" t="s">
        <v>32</v>
      </c>
      <c r="L204" s="30" t="s">
        <v>1289</v>
      </c>
      <c r="M204" s="29" t="s">
        <v>32</v>
      </c>
      <c r="N204" s="10" t="s">
        <v>32</v>
      </c>
      <c r="O204" s="10" t="s">
        <v>32</v>
      </c>
      <c r="P204" s="10" t="s">
        <v>32</v>
      </c>
      <c r="Q204" s="10" t="s">
        <v>32</v>
      </c>
      <c r="R204" s="10" t="s">
        <v>32</v>
      </c>
    </row>
    <row r="205" spans="1:18" ht="20.100000000000001" customHeight="1" x14ac:dyDescent="0.25">
      <c r="A205" s="7">
        <v>872</v>
      </c>
      <c r="B205" s="9" t="s">
        <v>726</v>
      </c>
      <c r="C205" s="9"/>
      <c r="D205" s="9" t="s">
        <v>727</v>
      </c>
      <c r="E205" s="9" t="s">
        <v>359</v>
      </c>
      <c r="F205" s="9" t="s">
        <v>728</v>
      </c>
      <c r="G205" s="7">
        <v>1</v>
      </c>
      <c r="H205" s="9" t="s">
        <v>729</v>
      </c>
      <c r="I205" s="9">
        <f t="shared" si="6"/>
        <v>303</v>
      </c>
      <c r="J205" s="9">
        <f t="shared" si="7"/>
        <v>303</v>
      </c>
      <c r="K205" s="3" t="s">
        <v>1289</v>
      </c>
      <c r="L205" s="28" t="s">
        <v>32</v>
      </c>
      <c r="M205" s="3" t="s">
        <v>1289</v>
      </c>
      <c r="N205" s="9" t="s">
        <v>32</v>
      </c>
      <c r="O205" s="9" t="s">
        <v>32</v>
      </c>
      <c r="P205" s="9" t="s">
        <v>32</v>
      </c>
      <c r="Q205" s="9" t="s">
        <v>32</v>
      </c>
      <c r="R205" s="9" t="s">
        <v>32</v>
      </c>
    </row>
    <row r="206" spans="1:18" ht="20.100000000000001" customHeight="1" x14ac:dyDescent="0.25">
      <c r="A206" s="7"/>
      <c r="B206" s="9" t="s">
        <v>730</v>
      </c>
      <c r="C206" s="9"/>
      <c r="D206" s="9" t="s">
        <v>731</v>
      </c>
      <c r="E206" s="9" t="s">
        <v>199</v>
      </c>
      <c r="F206" s="9" t="s">
        <v>732</v>
      </c>
      <c r="G206" s="7">
        <v>1</v>
      </c>
      <c r="H206" s="9" t="s">
        <v>32</v>
      </c>
      <c r="I206" s="9">
        <f t="shared" si="6"/>
        <v>149</v>
      </c>
      <c r="J206" s="9">
        <f t="shared" si="7"/>
        <v>149</v>
      </c>
      <c r="K206" s="28" t="s">
        <v>32</v>
      </c>
      <c r="L206" s="3" t="s">
        <v>1289</v>
      </c>
      <c r="M206" s="28" t="s">
        <v>32</v>
      </c>
      <c r="N206" s="9" t="s">
        <v>32</v>
      </c>
      <c r="O206" s="9" t="s">
        <v>32</v>
      </c>
      <c r="P206" s="9" t="s">
        <v>32</v>
      </c>
      <c r="Q206" s="9" t="s">
        <v>32</v>
      </c>
      <c r="R206" s="9" t="s">
        <v>32</v>
      </c>
    </row>
    <row r="207" spans="1:18" ht="20.100000000000001" customHeight="1" x14ac:dyDescent="0.25">
      <c r="A207" s="8">
        <v>873</v>
      </c>
      <c r="B207" s="10" t="s">
        <v>733</v>
      </c>
      <c r="C207" s="10"/>
      <c r="D207" s="10" t="s">
        <v>734</v>
      </c>
      <c r="E207" s="10" t="s">
        <v>735</v>
      </c>
      <c r="F207" s="10" t="s">
        <v>736</v>
      </c>
      <c r="G207" s="8">
        <v>1</v>
      </c>
      <c r="H207" s="10" t="s">
        <v>737</v>
      </c>
      <c r="I207" s="10">
        <f t="shared" si="6"/>
        <v>159</v>
      </c>
      <c r="J207" s="10">
        <f t="shared" si="7"/>
        <v>159</v>
      </c>
      <c r="K207" s="30" t="s">
        <v>1289</v>
      </c>
      <c r="L207" s="29" t="s">
        <v>32</v>
      </c>
      <c r="M207" s="29" t="s">
        <v>32</v>
      </c>
      <c r="N207" s="10" t="s">
        <v>32</v>
      </c>
      <c r="O207" s="10" t="s">
        <v>32</v>
      </c>
      <c r="P207" s="10" t="s">
        <v>32</v>
      </c>
      <c r="Q207" s="10" t="s">
        <v>32</v>
      </c>
      <c r="R207" s="10" t="s">
        <v>32</v>
      </c>
    </row>
    <row r="208" spans="1:18" ht="20.100000000000001" customHeight="1" x14ac:dyDescent="0.25">
      <c r="A208" s="8"/>
      <c r="B208" s="10" t="s">
        <v>738</v>
      </c>
      <c r="C208" s="10"/>
      <c r="D208" s="10" t="s">
        <v>734</v>
      </c>
      <c r="E208" s="10" t="s">
        <v>739</v>
      </c>
      <c r="F208" s="10" t="s">
        <v>740</v>
      </c>
      <c r="G208" s="8">
        <v>1</v>
      </c>
      <c r="H208" s="10" t="s">
        <v>32</v>
      </c>
      <c r="I208" s="10">
        <f t="shared" si="6"/>
        <v>149</v>
      </c>
      <c r="J208" s="10">
        <f t="shared" si="7"/>
        <v>149</v>
      </c>
      <c r="K208" s="29" t="s">
        <v>32</v>
      </c>
      <c r="L208" s="30" t="s">
        <v>1289</v>
      </c>
      <c r="M208" s="29" t="s">
        <v>32</v>
      </c>
      <c r="N208" s="10" t="s">
        <v>32</v>
      </c>
      <c r="O208" s="10" t="s">
        <v>32</v>
      </c>
      <c r="P208" s="10" t="s">
        <v>32</v>
      </c>
      <c r="Q208" s="10" t="s">
        <v>32</v>
      </c>
      <c r="R208" s="10" t="s">
        <v>32</v>
      </c>
    </row>
    <row r="209" spans="1:18" ht="20.100000000000001" customHeight="1" x14ac:dyDescent="0.25">
      <c r="A209" s="8"/>
      <c r="B209" s="10" t="s">
        <v>741</v>
      </c>
      <c r="C209" s="10"/>
      <c r="D209" s="10" t="s">
        <v>734</v>
      </c>
      <c r="E209" s="10" t="s">
        <v>372</v>
      </c>
      <c r="F209" s="10" t="s">
        <v>742</v>
      </c>
      <c r="G209" s="8">
        <v>1</v>
      </c>
      <c r="H209" s="10" t="s">
        <v>32</v>
      </c>
      <c r="I209" s="10">
        <f t="shared" si="6"/>
        <v>144</v>
      </c>
      <c r="J209" s="10">
        <f t="shared" si="7"/>
        <v>144</v>
      </c>
      <c r="K209" s="29" t="s">
        <v>32</v>
      </c>
      <c r="L209" s="29" t="s">
        <v>32</v>
      </c>
      <c r="M209" s="30" t="s">
        <v>1289</v>
      </c>
      <c r="N209" s="10" t="s">
        <v>32</v>
      </c>
      <c r="O209" s="10" t="s">
        <v>32</v>
      </c>
      <c r="P209" s="10" t="s">
        <v>32</v>
      </c>
      <c r="Q209" s="10" t="s">
        <v>32</v>
      </c>
      <c r="R209" s="10" t="s">
        <v>32</v>
      </c>
    </row>
    <row r="210" spans="1:18" ht="20.100000000000001" customHeight="1" x14ac:dyDescent="0.25">
      <c r="A210" s="7">
        <v>874</v>
      </c>
      <c r="B210" s="9" t="s">
        <v>743</v>
      </c>
      <c r="C210" s="9"/>
      <c r="D210" s="9" t="s">
        <v>744</v>
      </c>
      <c r="E210" s="9" t="s">
        <v>199</v>
      </c>
      <c r="F210" s="9" t="s">
        <v>745</v>
      </c>
      <c r="G210" s="7">
        <v>1</v>
      </c>
      <c r="H210" s="9" t="s">
        <v>746</v>
      </c>
      <c r="I210" s="9">
        <f t="shared" si="6"/>
        <v>452</v>
      </c>
      <c r="J210" s="9">
        <f t="shared" si="7"/>
        <v>452</v>
      </c>
      <c r="K210" s="3" t="s">
        <v>1289</v>
      </c>
      <c r="L210" s="3" t="s">
        <v>1289</v>
      </c>
      <c r="M210" s="3" t="s">
        <v>1289</v>
      </c>
      <c r="N210" s="9" t="s">
        <v>32</v>
      </c>
      <c r="O210" s="9" t="s">
        <v>32</v>
      </c>
      <c r="P210" s="9" t="s">
        <v>32</v>
      </c>
      <c r="Q210" s="9" t="s">
        <v>32</v>
      </c>
      <c r="R210" s="9" t="s">
        <v>32</v>
      </c>
    </row>
    <row r="211" spans="1:18" ht="20.100000000000001" customHeight="1" x14ac:dyDescent="0.25">
      <c r="A211" s="8">
        <v>875</v>
      </c>
      <c r="B211" s="10" t="s">
        <v>747</v>
      </c>
      <c r="C211" s="10"/>
      <c r="D211" s="10" t="s">
        <v>748</v>
      </c>
      <c r="E211" s="10" t="s">
        <v>199</v>
      </c>
      <c r="F211" s="10" t="s">
        <v>749</v>
      </c>
      <c r="G211" s="8">
        <v>2</v>
      </c>
      <c r="H211" s="10" t="s">
        <v>750</v>
      </c>
      <c r="I211" s="10">
        <f t="shared" si="6"/>
        <v>904</v>
      </c>
      <c r="J211" s="10">
        <f t="shared" si="7"/>
        <v>452</v>
      </c>
      <c r="K211" s="30" t="s">
        <v>1289</v>
      </c>
      <c r="L211" s="30" t="s">
        <v>1289</v>
      </c>
      <c r="M211" s="30" t="s">
        <v>1289</v>
      </c>
      <c r="N211" s="10" t="s">
        <v>32</v>
      </c>
      <c r="O211" s="10" t="s">
        <v>32</v>
      </c>
      <c r="P211" s="10" t="s">
        <v>32</v>
      </c>
      <c r="Q211" s="10" t="s">
        <v>32</v>
      </c>
      <c r="R211" s="10" t="s">
        <v>32</v>
      </c>
    </row>
    <row r="212" spans="1:18" ht="20.100000000000001" customHeight="1" x14ac:dyDescent="0.25">
      <c r="A212" s="7">
        <v>877</v>
      </c>
      <c r="B212" s="9" t="s">
        <v>751</v>
      </c>
      <c r="C212" s="9"/>
      <c r="D212" s="9" t="s">
        <v>752</v>
      </c>
      <c r="E212" s="9" t="s">
        <v>199</v>
      </c>
      <c r="F212" s="9" t="s">
        <v>753</v>
      </c>
      <c r="G212" s="7">
        <v>2</v>
      </c>
      <c r="H212" s="9" t="s">
        <v>754</v>
      </c>
      <c r="I212" s="9">
        <f t="shared" si="6"/>
        <v>904</v>
      </c>
      <c r="J212" s="9">
        <f t="shared" si="7"/>
        <v>452</v>
      </c>
      <c r="K212" s="3" t="s">
        <v>1289</v>
      </c>
      <c r="L212" s="3" t="s">
        <v>1289</v>
      </c>
      <c r="M212" s="3" t="s">
        <v>1289</v>
      </c>
      <c r="N212" s="9" t="s">
        <v>32</v>
      </c>
      <c r="O212" s="9" t="s">
        <v>32</v>
      </c>
      <c r="P212" s="9" t="s">
        <v>32</v>
      </c>
      <c r="Q212" s="9" t="s">
        <v>32</v>
      </c>
      <c r="R212" s="9" t="s">
        <v>32</v>
      </c>
    </row>
    <row r="213" spans="1:18" ht="20.100000000000001" customHeight="1" x14ac:dyDescent="0.25">
      <c r="A213" s="8">
        <v>921</v>
      </c>
      <c r="B213" s="10" t="s">
        <v>755</v>
      </c>
      <c r="C213" s="10"/>
      <c r="D213" s="10" t="s">
        <v>756</v>
      </c>
      <c r="E213" s="10" t="s">
        <v>757</v>
      </c>
      <c r="F213" s="10" t="s">
        <v>758</v>
      </c>
      <c r="G213" s="8">
        <v>3</v>
      </c>
      <c r="H213" s="10" t="s">
        <v>759</v>
      </c>
      <c r="I213" s="10">
        <f t="shared" si="6"/>
        <v>1356</v>
      </c>
      <c r="J213" s="10">
        <f t="shared" si="7"/>
        <v>452</v>
      </c>
      <c r="K213" s="30" t="s">
        <v>1289</v>
      </c>
      <c r="L213" s="30" t="s">
        <v>1289</v>
      </c>
      <c r="M213" s="30" t="s">
        <v>1289</v>
      </c>
      <c r="N213" s="10" t="s">
        <v>32</v>
      </c>
      <c r="O213" s="10" t="s">
        <v>32</v>
      </c>
      <c r="P213" s="10" t="s">
        <v>32</v>
      </c>
      <c r="Q213" s="10" t="s">
        <v>32</v>
      </c>
      <c r="R213" s="10" t="s">
        <v>32</v>
      </c>
    </row>
    <row r="214" spans="1:18" ht="20.100000000000001" customHeight="1" x14ac:dyDescent="0.25">
      <c r="A214" s="7">
        <v>924</v>
      </c>
      <c r="B214" s="9" t="s">
        <v>760</v>
      </c>
      <c r="C214" s="9"/>
      <c r="D214" s="9" t="s">
        <v>761</v>
      </c>
      <c r="E214" s="9" t="s">
        <v>762</v>
      </c>
      <c r="F214" s="9" t="s">
        <v>763</v>
      </c>
      <c r="G214" s="7">
        <v>1</v>
      </c>
      <c r="H214" s="9" t="s">
        <v>764</v>
      </c>
      <c r="I214" s="9">
        <f t="shared" si="6"/>
        <v>303</v>
      </c>
      <c r="J214" s="9">
        <f t="shared" si="7"/>
        <v>303</v>
      </c>
      <c r="K214" s="3" t="s">
        <v>1289</v>
      </c>
      <c r="L214" s="28" t="s">
        <v>32</v>
      </c>
      <c r="M214" s="3" t="s">
        <v>1289</v>
      </c>
      <c r="N214" s="9" t="s">
        <v>32</v>
      </c>
      <c r="O214" s="9" t="s">
        <v>32</v>
      </c>
      <c r="P214" s="9" t="s">
        <v>32</v>
      </c>
      <c r="Q214" s="9" t="s">
        <v>32</v>
      </c>
      <c r="R214" s="9" t="s">
        <v>32</v>
      </c>
    </row>
    <row r="215" spans="1:18" ht="20.100000000000001" customHeight="1" x14ac:dyDescent="0.25">
      <c r="A215" s="7"/>
      <c r="B215" s="9" t="s">
        <v>765</v>
      </c>
      <c r="C215" s="9"/>
      <c r="D215" s="9" t="s">
        <v>766</v>
      </c>
      <c r="E215" s="9" t="s">
        <v>762</v>
      </c>
      <c r="F215" s="9" t="s">
        <v>767</v>
      </c>
      <c r="G215" s="7">
        <v>1</v>
      </c>
      <c r="H215" s="9" t="s">
        <v>32</v>
      </c>
      <c r="I215" s="9">
        <f t="shared" si="6"/>
        <v>149</v>
      </c>
      <c r="J215" s="9">
        <f t="shared" si="7"/>
        <v>149</v>
      </c>
      <c r="K215" s="28" t="s">
        <v>32</v>
      </c>
      <c r="L215" s="3" t="s">
        <v>1289</v>
      </c>
      <c r="M215" s="28" t="s">
        <v>32</v>
      </c>
      <c r="N215" s="9" t="s">
        <v>32</v>
      </c>
      <c r="O215" s="9" t="s">
        <v>32</v>
      </c>
      <c r="P215" s="9" t="s">
        <v>32</v>
      </c>
      <c r="Q215" s="9" t="s">
        <v>32</v>
      </c>
      <c r="R215" s="9" t="s">
        <v>32</v>
      </c>
    </row>
    <row r="216" spans="1:18" ht="20.100000000000001" customHeight="1" x14ac:dyDescent="0.25">
      <c r="A216" s="8">
        <v>1027</v>
      </c>
      <c r="B216" s="10" t="s">
        <v>768</v>
      </c>
      <c r="C216" s="10"/>
      <c r="D216" s="10" t="s">
        <v>769</v>
      </c>
      <c r="E216" s="10" t="s">
        <v>93</v>
      </c>
      <c r="F216" s="10" t="s">
        <v>770</v>
      </c>
      <c r="G216" s="8">
        <v>1</v>
      </c>
      <c r="H216" s="10" t="s">
        <v>771</v>
      </c>
      <c r="I216" s="10">
        <f t="shared" si="6"/>
        <v>159</v>
      </c>
      <c r="J216" s="10">
        <f t="shared" si="7"/>
        <v>159</v>
      </c>
      <c r="K216" s="30" t="s">
        <v>1289</v>
      </c>
      <c r="L216" s="29" t="s">
        <v>32</v>
      </c>
      <c r="M216" s="29" t="s">
        <v>32</v>
      </c>
      <c r="N216" s="10" t="s">
        <v>32</v>
      </c>
      <c r="O216" s="10" t="s">
        <v>32</v>
      </c>
      <c r="P216" s="10" t="s">
        <v>32</v>
      </c>
      <c r="Q216" s="10" t="s">
        <v>32</v>
      </c>
      <c r="R216" s="10" t="s">
        <v>32</v>
      </c>
    </row>
    <row r="217" spans="1:18" ht="20.100000000000001" customHeight="1" x14ac:dyDescent="0.25">
      <c r="A217" s="8"/>
      <c r="B217" s="10" t="s">
        <v>772</v>
      </c>
      <c r="C217" s="10"/>
      <c r="D217" s="10" t="s">
        <v>773</v>
      </c>
      <c r="E217" s="10" t="s">
        <v>85</v>
      </c>
      <c r="F217" s="10" t="s">
        <v>774</v>
      </c>
      <c r="G217" s="8">
        <v>1</v>
      </c>
      <c r="H217" s="10" t="s">
        <v>32</v>
      </c>
      <c r="I217" s="10">
        <f t="shared" si="6"/>
        <v>149</v>
      </c>
      <c r="J217" s="10">
        <f t="shared" si="7"/>
        <v>149</v>
      </c>
      <c r="K217" s="29" t="s">
        <v>32</v>
      </c>
      <c r="L217" s="30" t="s">
        <v>1289</v>
      </c>
      <c r="M217" s="29" t="s">
        <v>32</v>
      </c>
      <c r="N217" s="10" t="s">
        <v>32</v>
      </c>
      <c r="O217" s="10" t="s">
        <v>32</v>
      </c>
      <c r="P217" s="10" t="s">
        <v>32</v>
      </c>
      <c r="Q217" s="10" t="s">
        <v>32</v>
      </c>
      <c r="R217" s="10" t="s">
        <v>32</v>
      </c>
    </row>
    <row r="218" spans="1:18" ht="20.100000000000001" customHeight="1" x14ac:dyDescent="0.25">
      <c r="A218" s="8"/>
      <c r="B218" s="10" t="s">
        <v>775</v>
      </c>
      <c r="C218" s="10"/>
      <c r="D218" s="10" t="s">
        <v>773</v>
      </c>
      <c r="E218" s="10" t="s">
        <v>146</v>
      </c>
      <c r="F218" s="10" t="s">
        <v>776</v>
      </c>
      <c r="G218" s="8">
        <v>1</v>
      </c>
      <c r="H218" s="10" t="s">
        <v>32</v>
      </c>
      <c r="I218" s="10">
        <f t="shared" si="6"/>
        <v>144</v>
      </c>
      <c r="J218" s="10">
        <f t="shared" si="7"/>
        <v>144</v>
      </c>
      <c r="K218" s="29" t="s">
        <v>32</v>
      </c>
      <c r="L218" s="29" t="s">
        <v>32</v>
      </c>
      <c r="M218" s="30" t="s">
        <v>1289</v>
      </c>
      <c r="N218" s="10" t="s">
        <v>32</v>
      </c>
      <c r="O218" s="10" t="s">
        <v>32</v>
      </c>
      <c r="P218" s="10" t="s">
        <v>32</v>
      </c>
      <c r="Q218" s="10" t="s">
        <v>32</v>
      </c>
      <c r="R218" s="10" t="s">
        <v>32</v>
      </c>
    </row>
    <row r="219" spans="1:18" ht="20.100000000000001" customHeight="1" x14ac:dyDescent="0.25">
      <c r="A219" s="7">
        <v>1030</v>
      </c>
      <c r="B219" s="9" t="s">
        <v>777</v>
      </c>
      <c r="C219" s="9"/>
      <c r="D219" s="9" t="s">
        <v>773</v>
      </c>
      <c r="E219" s="9" t="s">
        <v>93</v>
      </c>
      <c r="F219" s="9" t="s">
        <v>778</v>
      </c>
      <c r="G219" s="7">
        <v>1</v>
      </c>
      <c r="H219" s="9" t="s">
        <v>779</v>
      </c>
      <c r="I219" s="9">
        <f t="shared" si="6"/>
        <v>159</v>
      </c>
      <c r="J219" s="9">
        <f t="shared" si="7"/>
        <v>159</v>
      </c>
      <c r="K219" s="3" t="s">
        <v>1289</v>
      </c>
      <c r="L219" s="28" t="s">
        <v>32</v>
      </c>
      <c r="M219" s="28" t="s">
        <v>32</v>
      </c>
      <c r="N219" s="9" t="s">
        <v>32</v>
      </c>
      <c r="O219" s="9" t="s">
        <v>32</v>
      </c>
      <c r="P219" s="9" t="s">
        <v>32</v>
      </c>
      <c r="Q219" s="9" t="s">
        <v>32</v>
      </c>
      <c r="R219" s="9" t="s">
        <v>32</v>
      </c>
    </row>
    <row r="220" spans="1:18" ht="20.100000000000001" customHeight="1" x14ac:dyDescent="0.25">
      <c r="A220" s="7"/>
      <c r="B220" s="9" t="s">
        <v>780</v>
      </c>
      <c r="C220" s="9"/>
      <c r="D220" s="9" t="s">
        <v>773</v>
      </c>
      <c r="E220" s="9" t="s">
        <v>146</v>
      </c>
      <c r="F220" s="9" t="s">
        <v>781</v>
      </c>
      <c r="G220" s="7">
        <v>1</v>
      </c>
      <c r="H220" s="9" t="s">
        <v>32</v>
      </c>
      <c r="I220" s="9">
        <f t="shared" si="6"/>
        <v>149</v>
      </c>
      <c r="J220" s="9">
        <f t="shared" si="7"/>
        <v>149</v>
      </c>
      <c r="K220" s="28" t="s">
        <v>32</v>
      </c>
      <c r="L220" s="3" t="s">
        <v>1289</v>
      </c>
      <c r="M220" s="28" t="s">
        <v>32</v>
      </c>
      <c r="N220" s="9" t="s">
        <v>32</v>
      </c>
      <c r="O220" s="9" t="s">
        <v>32</v>
      </c>
      <c r="P220" s="9" t="s">
        <v>32</v>
      </c>
      <c r="Q220" s="9" t="s">
        <v>32</v>
      </c>
      <c r="R220" s="9" t="s">
        <v>32</v>
      </c>
    </row>
    <row r="221" spans="1:18" ht="20.100000000000001" customHeight="1" x14ac:dyDescent="0.25">
      <c r="A221" s="7"/>
      <c r="B221" s="9" t="s">
        <v>782</v>
      </c>
      <c r="C221" s="9"/>
      <c r="D221" s="9" t="s">
        <v>783</v>
      </c>
      <c r="E221" s="9" t="s">
        <v>784</v>
      </c>
      <c r="F221" s="9" t="s">
        <v>785</v>
      </c>
      <c r="G221" s="7">
        <v>1</v>
      </c>
      <c r="H221" s="9" t="s">
        <v>32</v>
      </c>
      <c r="I221" s="9">
        <f t="shared" si="6"/>
        <v>144</v>
      </c>
      <c r="J221" s="9">
        <f t="shared" si="7"/>
        <v>144</v>
      </c>
      <c r="K221" s="28" t="s">
        <v>32</v>
      </c>
      <c r="L221" s="28" t="s">
        <v>32</v>
      </c>
      <c r="M221" s="3" t="s">
        <v>1289</v>
      </c>
      <c r="N221" s="9" t="s">
        <v>32</v>
      </c>
      <c r="O221" s="9" t="s">
        <v>32</v>
      </c>
      <c r="P221" s="9" t="s">
        <v>32</v>
      </c>
      <c r="Q221" s="9" t="s">
        <v>32</v>
      </c>
      <c r="R221" s="9" t="s">
        <v>32</v>
      </c>
    </row>
    <row r="222" spans="1:18" ht="20.100000000000001" customHeight="1" x14ac:dyDescent="0.25">
      <c r="A222" s="8">
        <v>1032</v>
      </c>
      <c r="B222" s="10" t="s">
        <v>786</v>
      </c>
      <c r="C222" s="10"/>
      <c r="D222" s="10" t="s">
        <v>787</v>
      </c>
      <c r="E222" s="10" t="s">
        <v>66</v>
      </c>
      <c r="F222" s="10" t="s">
        <v>788</v>
      </c>
      <c r="G222" s="8">
        <v>1</v>
      </c>
      <c r="H222" s="10" t="s">
        <v>789</v>
      </c>
      <c r="I222" s="10">
        <f t="shared" si="6"/>
        <v>159</v>
      </c>
      <c r="J222" s="10">
        <f t="shared" si="7"/>
        <v>159</v>
      </c>
      <c r="K222" s="30" t="s">
        <v>1289</v>
      </c>
      <c r="L222" s="29" t="s">
        <v>32</v>
      </c>
      <c r="M222" s="29" t="s">
        <v>32</v>
      </c>
      <c r="N222" s="10" t="s">
        <v>32</v>
      </c>
      <c r="O222" s="10" t="s">
        <v>32</v>
      </c>
      <c r="P222" s="10" t="s">
        <v>32</v>
      </c>
      <c r="Q222" s="10" t="s">
        <v>32</v>
      </c>
      <c r="R222" s="10" t="s">
        <v>32</v>
      </c>
    </row>
    <row r="223" spans="1:18" ht="20.100000000000001" customHeight="1" x14ac:dyDescent="0.25">
      <c r="A223" s="8"/>
      <c r="B223" s="10" t="s">
        <v>790</v>
      </c>
      <c r="C223" s="10"/>
      <c r="D223" s="10" t="s">
        <v>791</v>
      </c>
      <c r="E223" s="10" t="s">
        <v>266</v>
      </c>
      <c r="F223" s="10" t="s">
        <v>792</v>
      </c>
      <c r="G223" s="8">
        <v>1</v>
      </c>
      <c r="H223" s="10" t="s">
        <v>32</v>
      </c>
      <c r="I223" s="10">
        <f t="shared" si="6"/>
        <v>149</v>
      </c>
      <c r="J223" s="10">
        <f t="shared" si="7"/>
        <v>149</v>
      </c>
      <c r="K223" s="29" t="s">
        <v>32</v>
      </c>
      <c r="L223" s="30" t="s">
        <v>1289</v>
      </c>
      <c r="M223" s="29" t="s">
        <v>32</v>
      </c>
      <c r="N223" s="10" t="s">
        <v>32</v>
      </c>
      <c r="O223" s="10" t="s">
        <v>32</v>
      </c>
      <c r="P223" s="10" t="s">
        <v>32</v>
      </c>
      <c r="Q223" s="10" t="s">
        <v>32</v>
      </c>
      <c r="R223" s="10" t="s">
        <v>32</v>
      </c>
    </row>
    <row r="224" spans="1:18" ht="20.100000000000001" customHeight="1" x14ac:dyDescent="0.25">
      <c r="A224" s="8"/>
      <c r="B224" s="10" t="s">
        <v>793</v>
      </c>
      <c r="C224" s="10"/>
      <c r="D224" s="10" t="s">
        <v>794</v>
      </c>
      <c r="E224" s="10" t="s">
        <v>70</v>
      </c>
      <c r="F224" s="10" t="s">
        <v>795</v>
      </c>
      <c r="G224" s="8">
        <v>1</v>
      </c>
      <c r="H224" s="10" t="s">
        <v>32</v>
      </c>
      <c r="I224" s="10">
        <f t="shared" si="6"/>
        <v>144</v>
      </c>
      <c r="J224" s="10">
        <f t="shared" si="7"/>
        <v>144</v>
      </c>
      <c r="K224" s="29" t="s">
        <v>32</v>
      </c>
      <c r="L224" s="29" t="s">
        <v>32</v>
      </c>
      <c r="M224" s="30" t="s">
        <v>1289</v>
      </c>
      <c r="N224" s="10" t="s">
        <v>32</v>
      </c>
      <c r="O224" s="10" t="s">
        <v>32</v>
      </c>
      <c r="P224" s="10" t="s">
        <v>32</v>
      </c>
      <c r="Q224" s="10" t="s">
        <v>32</v>
      </c>
      <c r="R224" s="10" t="s">
        <v>32</v>
      </c>
    </row>
    <row r="225" spans="1:18" ht="20.100000000000001" customHeight="1" x14ac:dyDescent="0.25">
      <c r="A225" s="7">
        <v>1037</v>
      </c>
      <c r="B225" s="9" t="s">
        <v>796</v>
      </c>
      <c r="C225" s="9"/>
      <c r="D225" s="9" t="s">
        <v>797</v>
      </c>
      <c r="E225" s="9" t="s">
        <v>619</v>
      </c>
      <c r="F225" s="9" t="s">
        <v>798</v>
      </c>
      <c r="G225" s="7">
        <v>2</v>
      </c>
      <c r="H225" s="9" t="s">
        <v>799</v>
      </c>
      <c r="I225" s="9">
        <f t="shared" si="6"/>
        <v>318</v>
      </c>
      <c r="J225" s="9">
        <f t="shared" si="7"/>
        <v>159</v>
      </c>
      <c r="K225" s="3" t="s">
        <v>1289</v>
      </c>
      <c r="L225" s="28" t="s">
        <v>32</v>
      </c>
      <c r="M225" s="28" t="s">
        <v>32</v>
      </c>
      <c r="N225" s="9" t="s">
        <v>32</v>
      </c>
      <c r="O225" s="9" t="s">
        <v>32</v>
      </c>
      <c r="P225" s="9" t="s">
        <v>32</v>
      </c>
      <c r="Q225" s="9" t="s">
        <v>32</v>
      </c>
      <c r="R225" s="9" t="s">
        <v>32</v>
      </c>
    </row>
    <row r="226" spans="1:18" ht="20.100000000000001" customHeight="1" x14ac:dyDescent="0.25">
      <c r="A226" s="7"/>
      <c r="B226" s="9" t="s">
        <v>800</v>
      </c>
      <c r="C226" s="9"/>
      <c r="D226" s="9" t="s">
        <v>801</v>
      </c>
      <c r="E226" s="9" t="s">
        <v>78</v>
      </c>
      <c r="F226" s="9" t="s">
        <v>802</v>
      </c>
      <c r="G226" s="7">
        <v>2</v>
      </c>
      <c r="H226" s="9" t="s">
        <v>32</v>
      </c>
      <c r="I226" s="9">
        <f t="shared" si="6"/>
        <v>298</v>
      </c>
      <c r="J226" s="9">
        <f t="shared" si="7"/>
        <v>149</v>
      </c>
      <c r="K226" s="28" t="s">
        <v>32</v>
      </c>
      <c r="L226" s="3" t="s">
        <v>1289</v>
      </c>
      <c r="M226" s="28" t="s">
        <v>32</v>
      </c>
      <c r="N226" s="9" t="s">
        <v>32</v>
      </c>
      <c r="O226" s="9" t="s">
        <v>32</v>
      </c>
      <c r="P226" s="9" t="s">
        <v>32</v>
      </c>
      <c r="Q226" s="9" t="s">
        <v>32</v>
      </c>
      <c r="R226" s="9" t="s">
        <v>32</v>
      </c>
    </row>
    <row r="227" spans="1:18" ht="20.100000000000001" customHeight="1" x14ac:dyDescent="0.25">
      <c r="A227" s="7"/>
      <c r="B227" s="9" t="s">
        <v>803</v>
      </c>
      <c r="C227" s="9"/>
      <c r="D227" s="9" t="s">
        <v>804</v>
      </c>
      <c r="E227" s="9" t="s">
        <v>805</v>
      </c>
      <c r="F227" s="9" t="s">
        <v>806</v>
      </c>
      <c r="G227" s="7">
        <v>2</v>
      </c>
      <c r="H227" s="9" t="s">
        <v>32</v>
      </c>
      <c r="I227" s="9">
        <f t="shared" si="6"/>
        <v>288</v>
      </c>
      <c r="J227" s="9">
        <f t="shared" si="7"/>
        <v>144</v>
      </c>
      <c r="K227" s="28" t="s">
        <v>32</v>
      </c>
      <c r="L227" s="28" t="s">
        <v>32</v>
      </c>
      <c r="M227" s="3" t="s">
        <v>1289</v>
      </c>
      <c r="N227" s="9" t="s">
        <v>32</v>
      </c>
      <c r="O227" s="9" t="s">
        <v>32</v>
      </c>
      <c r="P227" s="9" t="s">
        <v>32</v>
      </c>
      <c r="Q227" s="9" t="s">
        <v>32</v>
      </c>
      <c r="R227" s="9" t="s">
        <v>32</v>
      </c>
    </row>
    <row r="228" spans="1:18" ht="20.100000000000001" customHeight="1" x14ac:dyDescent="0.25">
      <c r="A228" s="8">
        <v>1039</v>
      </c>
      <c r="B228" s="10" t="s">
        <v>807</v>
      </c>
      <c r="C228" s="10"/>
      <c r="D228" s="10" t="s">
        <v>808</v>
      </c>
      <c r="E228" s="10" t="s">
        <v>58</v>
      </c>
      <c r="F228" s="10" t="s">
        <v>809</v>
      </c>
      <c r="G228" s="8">
        <v>4</v>
      </c>
      <c r="H228" s="10" t="s">
        <v>810</v>
      </c>
      <c r="I228" s="10">
        <f t="shared" si="6"/>
        <v>636</v>
      </c>
      <c r="J228" s="10">
        <f t="shared" si="7"/>
        <v>159</v>
      </c>
      <c r="K228" s="30" t="s">
        <v>1289</v>
      </c>
      <c r="L228" s="29" t="s">
        <v>32</v>
      </c>
      <c r="M228" s="29" t="s">
        <v>32</v>
      </c>
      <c r="N228" s="10" t="s">
        <v>32</v>
      </c>
      <c r="O228" s="10" t="s">
        <v>32</v>
      </c>
      <c r="P228" s="10" t="s">
        <v>32</v>
      </c>
      <c r="Q228" s="10" t="s">
        <v>32</v>
      </c>
      <c r="R228" s="10" t="s">
        <v>32</v>
      </c>
    </row>
    <row r="229" spans="1:18" ht="20.100000000000001" customHeight="1" x14ac:dyDescent="0.25">
      <c r="A229" s="8"/>
      <c r="B229" s="10" t="s">
        <v>811</v>
      </c>
      <c r="C229" s="10"/>
      <c r="D229" s="10" t="s">
        <v>812</v>
      </c>
      <c r="E229" s="10" t="s">
        <v>813</v>
      </c>
      <c r="F229" s="10" t="s">
        <v>814</v>
      </c>
      <c r="G229" s="8">
        <v>4</v>
      </c>
      <c r="H229" s="10" t="s">
        <v>32</v>
      </c>
      <c r="I229" s="10">
        <f t="shared" si="6"/>
        <v>596</v>
      </c>
      <c r="J229" s="10">
        <f t="shared" si="7"/>
        <v>149</v>
      </c>
      <c r="K229" s="29" t="s">
        <v>32</v>
      </c>
      <c r="L229" s="30" t="s">
        <v>1289</v>
      </c>
      <c r="M229" s="29" t="s">
        <v>32</v>
      </c>
      <c r="N229" s="10" t="s">
        <v>32</v>
      </c>
      <c r="O229" s="10" t="s">
        <v>32</v>
      </c>
      <c r="P229" s="10" t="s">
        <v>32</v>
      </c>
      <c r="Q229" s="10" t="s">
        <v>32</v>
      </c>
      <c r="R229" s="10" t="s">
        <v>32</v>
      </c>
    </row>
    <row r="230" spans="1:18" ht="20.100000000000001" customHeight="1" x14ac:dyDescent="0.25">
      <c r="A230" s="8"/>
      <c r="B230" s="10" t="s">
        <v>815</v>
      </c>
      <c r="C230" s="10"/>
      <c r="D230" s="10" t="s">
        <v>816</v>
      </c>
      <c r="E230" s="10" t="s">
        <v>266</v>
      </c>
      <c r="F230" s="10" t="s">
        <v>817</v>
      </c>
      <c r="G230" s="8">
        <v>4</v>
      </c>
      <c r="H230" s="10" t="s">
        <v>32</v>
      </c>
      <c r="I230" s="10">
        <f t="shared" si="6"/>
        <v>576</v>
      </c>
      <c r="J230" s="10">
        <f t="shared" si="7"/>
        <v>144</v>
      </c>
      <c r="K230" s="29" t="s">
        <v>32</v>
      </c>
      <c r="L230" s="29" t="s">
        <v>32</v>
      </c>
      <c r="M230" s="30" t="s">
        <v>1289</v>
      </c>
      <c r="N230" s="10" t="s">
        <v>32</v>
      </c>
      <c r="O230" s="10" t="s">
        <v>32</v>
      </c>
      <c r="P230" s="10" t="s">
        <v>32</v>
      </c>
      <c r="Q230" s="10" t="s">
        <v>32</v>
      </c>
      <c r="R230" s="10" t="s">
        <v>32</v>
      </c>
    </row>
    <row r="231" spans="1:18" ht="20.100000000000001" customHeight="1" x14ac:dyDescent="0.25">
      <c r="A231" s="7">
        <v>1108</v>
      </c>
      <c r="B231" s="9" t="s">
        <v>818</v>
      </c>
      <c r="C231" s="9"/>
      <c r="D231" s="9" t="s">
        <v>819</v>
      </c>
      <c r="E231" s="9" t="s">
        <v>81</v>
      </c>
      <c r="F231" s="9" t="s">
        <v>820</v>
      </c>
      <c r="G231" s="7">
        <v>1</v>
      </c>
      <c r="H231" s="9" t="s">
        <v>821</v>
      </c>
      <c r="I231" s="9">
        <f t="shared" si="6"/>
        <v>159</v>
      </c>
      <c r="J231" s="9">
        <f t="shared" si="7"/>
        <v>159</v>
      </c>
      <c r="K231" s="3" t="s">
        <v>1289</v>
      </c>
      <c r="L231" s="28" t="s">
        <v>32</v>
      </c>
      <c r="M231" s="28" t="s">
        <v>32</v>
      </c>
      <c r="N231" s="9" t="s">
        <v>32</v>
      </c>
      <c r="O231" s="9" t="s">
        <v>32</v>
      </c>
      <c r="P231" s="9" t="s">
        <v>32</v>
      </c>
      <c r="Q231" s="9" t="s">
        <v>32</v>
      </c>
      <c r="R231" s="9" t="s">
        <v>32</v>
      </c>
    </row>
    <row r="232" spans="1:18" ht="20.100000000000001" customHeight="1" x14ac:dyDescent="0.25">
      <c r="A232" s="7"/>
      <c r="B232" s="9" t="s">
        <v>822</v>
      </c>
      <c r="C232" s="9"/>
      <c r="D232" s="9" t="s">
        <v>823</v>
      </c>
      <c r="E232" s="9" t="s">
        <v>824</v>
      </c>
      <c r="F232" s="9" t="s">
        <v>825</v>
      </c>
      <c r="G232" s="7">
        <v>1</v>
      </c>
      <c r="H232" s="9" t="s">
        <v>32</v>
      </c>
      <c r="I232" s="9">
        <f t="shared" si="6"/>
        <v>149</v>
      </c>
      <c r="J232" s="9">
        <f t="shared" si="7"/>
        <v>149</v>
      </c>
      <c r="K232" s="28" t="s">
        <v>32</v>
      </c>
      <c r="L232" s="3" t="s">
        <v>1289</v>
      </c>
      <c r="M232" s="28" t="s">
        <v>32</v>
      </c>
      <c r="N232" s="9" t="s">
        <v>32</v>
      </c>
      <c r="O232" s="9" t="s">
        <v>32</v>
      </c>
      <c r="P232" s="9" t="s">
        <v>32</v>
      </c>
      <c r="Q232" s="9" t="s">
        <v>32</v>
      </c>
      <c r="R232" s="9" t="s">
        <v>32</v>
      </c>
    </row>
    <row r="233" spans="1:18" ht="20.100000000000001" customHeight="1" x14ac:dyDescent="0.25">
      <c r="A233" s="7"/>
      <c r="B233" s="9" t="s">
        <v>826</v>
      </c>
      <c r="C233" s="9"/>
      <c r="D233" s="9" t="s">
        <v>827</v>
      </c>
      <c r="E233" s="9" t="s">
        <v>230</v>
      </c>
      <c r="F233" s="9" t="s">
        <v>828</v>
      </c>
      <c r="G233" s="7">
        <v>1</v>
      </c>
      <c r="H233" s="9" t="s">
        <v>32</v>
      </c>
      <c r="I233" s="9">
        <f t="shared" si="6"/>
        <v>144</v>
      </c>
      <c r="J233" s="9">
        <f t="shared" si="7"/>
        <v>144</v>
      </c>
      <c r="K233" s="28" t="s">
        <v>32</v>
      </c>
      <c r="L233" s="28" t="s">
        <v>32</v>
      </c>
      <c r="M233" s="3" t="s">
        <v>1289</v>
      </c>
      <c r="N233" s="9" t="s">
        <v>32</v>
      </c>
      <c r="O233" s="9" t="s">
        <v>32</v>
      </c>
      <c r="P233" s="9" t="s">
        <v>32</v>
      </c>
      <c r="Q233" s="9" t="s">
        <v>32</v>
      </c>
      <c r="R233" s="9" t="s">
        <v>32</v>
      </c>
    </row>
    <row r="234" spans="1:18" ht="20.100000000000001" customHeight="1" x14ac:dyDescent="0.25">
      <c r="A234" s="8">
        <v>1109</v>
      </c>
      <c r="B234" s="10" t="s">
        <v>829</v>
      </c>
      <c r="C234" s="10"/>
      <c r="D234" s="10" t="s">
        <v>830</v>
      </c>
      <c r="E234" s="10" t="s">
        <v>81</v>
      </c>
      <c r="F234" s="10" t="s">
        <v>831</v>
      </c>
      <c r="G234" s="8">
        <v>1</v>
      </c>
      <c r="H234" s="10" t="s">
        <v>832</v>
      </c>
      <c r="I234" s="10">
        <f t="shared" si="6"/>
        <v>159</v>
      </c>
      <c r="J234" s="10">
        <f t="shared" si="7"/>
        <v>159</v>
      </c>
      <c r="K234" s="30" t="s">
        <v>1289</v>
      </c>
      <c r="L234" s="29" t="s">
        <v>32</v>
      </c>
      <c r="M234" s="29" t="s">
        <v>32</v>
      </c>
      <c r="N234" s="10" t="s">
        <v>32</v>
      </c>
      <c r="O234" s="10" t="s">
        <v>32</v>
      </c>
      <c r="P234" s="10" t="s">
        <v>32</v>
      </c>
      <c r="Q234" s="10" t="s">
        <v>32</v>
      </c>
      <c r="R234" s="10" t="s">
        <v>32</v>
      </c>
    </row>
    <row r="235" spans="1:18" ht="20.100000000000001" customHeight="1" x14ac:dyDescent="0.25">
      <c r="A235" s="8"/>
      <c r="B235" s="10" t="s">
        <v>833</v>
      </c>
      <c r="C235" s="10"/>
      <c r="D235" s="10" t="s">
        <v>834</v>
      </c>
      <c r="E235" s="10" t="s">
        <v>230</v>
      </c>
      <c r="F235" s="10" t="s">
        <v>835</v>
      </c>
      <c r="G235" s="8">
        <v>1</v>
      </c>
      <c r="H235" s="10" t="s">
        <v>32</v>
      </c>
      <c r="I235" s="10">
        <f t="shared" si="6"/>
        <v>149</v>
      </c>
      <c r="J235" s="10">
        <f t="shared" si="7"/>
        <v>149</v>
      </c>
      <c r="K235" s="29" t="s">
        <v>32</v>
      </c>
      <c r="L235" s="30" t="s">
        <v>1289</v>
      </c>
      <c r="M235" s="29" t="s">
        <v>32</v>
      </c>
      <c r="N235" s="10" t="s">
        <v>32</v>
      </c>
      <c r="O235" s="10" t="s">
        <v>32</v>
      </c>
      <c r="P235" s="10" t="s">
        <v>32</v>
      </c>
      <c r="Q235" s="10" t="s">
        <v>32</v>
      </c>
      <c r="R235" s="10" t="s">
        <v>32</v>
      </c>
    </row>
    <row r="236" spans="1:18" ht="20.100000000000001" customHeight="1" x14ac:dyDescent="0.25">
      <c r="A236" s="8"/>
      <c r="B236" s="10" t="s">
        <v>836</v>
      </c>
      <c r="C236" s="10"/>
      <c r="D236" s="10" t="s">
        <v>837</v>
      </c>
      <c r="E236" s="10" t="s">
        <v>320</v>
      </c>
      <c r="F236" s="10" t="s">
        <v>838</v>
      </c>
      <c r="G236" s="8">
        <v>1</v>
      </c>
      <c r="H236" s="10" t="s">
        <v>32</v>
      </c>
      <c r="I236" s="10">
        <f t="shared" si="6"/>
        <v>144</v>
      </c>
      <c r="J236" s="10">
        <f t="shared" si="7"/>
        <v>144</v>
      </c>
      <c r="K236" s="29" t="s">
        <v>32</v>
      </c>
      <c r="L236" s="29" t="s">
        <v>32</v>
      </c>
      <c r="M236" s="30" t="s">
        <v>1289</v>
      </c>
      <c r="N236" s="10" t="s">
        <v>32</v>
      </c>
      <c r="O236" s="10" t="s">
        <v>32</v>
      </c>
      <c r="P236" s="10" t="s">
        <v>32</v>
      </c>
      <c r="Q236" s="10" t="s">
        <v>32</v>
      </c>
      <c r="R236" s="10" t="s">
        <v>32</v>
      </c>
    </row>
    <row r="237" spans="1:18" ht="20.100000000000001" customHeight="1" x14ac:dyDescent="0.25">
      <c r="A237" s="7">
        <v>1112</v>
      </c>
      <c r="B237" s="9" t="s">
        <v>839</v>
      </c>
      <c r="C237" s="9"/>
      <c r="D237" s="9" t="s">
        <v>840</v>
      </c>
      <c r="E237" s="9" t="s">
        <v>841</v>
      </c>
      <c r="F237" s="9" t="s">
        <v>842</v>
      </c>
      <c r="G237" s="7">
        <v>1</v>
      </c>
      <c r="H237" s="9" t="s">
        <v>843</v>
      </c>
      <c r="I237" s="9">
        <f t="shared" si="6"/>
        <v>159</v>
      </c>
      <c r="J237" s="9">
        <f t="shared" si="7"/>
        <v>159</v>
      </c>
      <c r="K237" s="3" t="s">
        <v>1289</v>
      </c>
      <c r="L237" s="28" t="s">
        <v>32</v>
      </c>
      <c r="M237" s="28" t="s">
        <v>32</v>
      </c>
      <c r="N237" s="9" t="s">
        <v>32</v>
      </c>
      <c r="O237" s="9" t="s">
        <v>32</v>
      </c>
      <c r="P237" s="9" t="s">
        <v>32</v>
      </c>
      <c r="Q237" s="9" t="s">
        <v>32</v>
      </c>
      <c r="R237" s="9" t="s">
        <v>32</v>
      </c>
    </row>
    <row r="238" spans="1:18" ht="20.100000000000001" customHeight="1" x14ac:dyDescent="0.25">
      <c r="A238" s="7"/>
      <c r="B238" s="9" t="s">
        <v>844</v>
      </c>
      <c r="C238" s="9"/>
      <c r="D238" s="9" t="s">
        <v>845</v>
      </c>
      <c r="E238" s="9" t="s">
        <v>846</v>
      </c>
      <c r="F238" s="9" t="s">
        <v>847</v>
      </c>
      <c r="G238" s="7">
        <v>1</v>
      </c>
      <c r="H238" s="9" t="s">
        <v>32</v>
      </c>
      <c r="I238" s="9">
        <f t="shared" si="6"/>
        <v>149</v>
      </c>
      <c r="J238" s="9">
        <f t="shared" si="7"/>
        <v>149</v>
      </c>
      <c r="K238" s="28" t="s">
        <v>32</v>
      </c>
      <c r="L238" s="3" t="s">
        <v>1289</v>
      </c>
      <c r="M238" s="28" t="s">
        <v>32</v>
      </c>
      <c r="N238" s="9" t="s">
        <v>32</v>
      </c>
      <c r="O238" s="9" t="s">
        <v>32</v>
      </c>
      <c r="P238" s="9" t="s">
        <v>32</v>
      </c>
      <c r="Q238" s="9" t="s">
        <v>32</v>
      </c>
      <c r="R238" s="9" t="s">
        <v>32</v>
      </c>
    </row>
    <row r="239" spans="1:18" ht="20.100000000000001" customHeight="1" x14ac:dyDescent="0.25">
      <c r="A239" s="7"/>
      <c r="B239" s="9" t="s">
        <v>848</v>
      </c>
      <c r="C239" s="9"/>
      <c r="D239" s="9" t="s">
        <v>845</v>
      </c>
      <c r="E239" s="9" t="s">
        <v>849</v>
      </c>
      <c r="F239" s="9" t="s">
        <v>850</v>
      </c>
      <c r="G239" s="7">
        <v>1</v>
      </c>
      <c r="H239" s="9" t="s">
        <v>32</v>
      </c>
      <c r="I239" s="9">
        <f t="shared" si="6"/>
        <v>144</v>
      </c>
      <c r="J239" s="9">
        <f t="shared" si="7"/>
        <v>144</v>
      </c>
      <c r="K239" s="28" t="s">
        <v>32</v>
      </c>
      <c r="L239" s="28" t="s">
        <v>32</v>
      </c>
      <c r="M239" s="3" t="s">
        <v>1289</v>
      </c>
      <c r="N239" s="9" t="s">
        <v>32</v>
      </c>
      <c r="O239" s="9" t="s">
        <v>32</v>
      </c>
      <c r="P239" s="9" t="s">
        <v>32</v>
      </c>
      <c r="Q239" s="9" t="s">
        <v>32</v>
      </c>
      <c r="R239" s="9" t="s">
        <v>32</v>
      </c>
    </row>
    <row r="240" spans="1:18" ht="20.100000000000001" customHeight="1" x14ac:dyDescent="0.25">
      <c r="A240" s="8">
        <v>1136</v>
      </c>
      <c r="B240" s="10" t="s">
        <v>851</v>
      </c>
      <c r="C240" s="10"/>
      <c r="D240" s="10" t="s">
        <v>852</v>
      </c>
      <c r="E240" s="10" t="s">
        <v>230</v>
      </c>
      <c r="F240" s="10" t="s">
        <v>853</v>
      </c>
      <c r="G240" s="8">
        <v>1</v>
      </c>
      <c r="H240" s="10" t="s">
        <v>854</v>
      </c>
      <c r="I240" s="10">
        <f t="shared" si="6"/>
        <v>452</v>
      </c>
      <c r="J240" s="10">
        <f t="shared" si="7"/>
        <v>452</v>
      </c>
      <c r="K240" s="30" t="s">
        <v>1289</v>
      </c>
      <c r="L240" s="30" t="s">
        <v>1289</v>
      </c>
      <c r="M240" s="30" t="s">
        <v>1289</v>
      </c>
      <c r="N240" s="10" t="s">
        <v>32</v>
      </c>
      <c r="O240" s="10" t="s">
        <v>32</v>
      </c>
      <c r="P240" s="10" t="s">
        <v>32</v>
      </c>
      <c r="Q240" s="10" t="s">
        <v>32</v>
      </c>
      <c r="R240" s="10" t="s">
        <v>32</v>
      </c>
    </row>
    <row r="241" spans="1:18" ht="20.100000000000001" customHeight="1" x14ac:dyDescent="0.25">
      <c r="A241" s="7">
        <v>1144</v>
      </c>
      <c r="B241" s="9" t="s">
        <v>855</v>
      </c>
      <c r="C241" s="9"/>
      <c r="D241" s="9" t="s">
        <v>856</v>
      </c>
      <c r="E241" s="9" t="s">
        <v>36</v>
      </c>
      <c r="F241" s="9" t="s">
        <v>857</v>
      </c>
      <c r="G241" s="7">
        <v>8</v>
      </c>
      <c r="H241" s="9" t="s">
        <v>858</v>
      </c>
      <c r="I241" s="9">
        <f t="shared" si="6"/>
        <v>1272</v>
      </c>
      <c r="J241" s="9">
        <f t="shared" si="7"/>
        <v>159</v>
      </c>
      <c r="K241" s="3" t="s">
        <v>1289</v>
      </c>
      <c r="L241" s="28" t="s">
        <v>32</v>
      </c>
      <c r="M241" s="28" t="s">
        <v>32</v>
      </c>
      <c r="N241" s="9" t="s">
        <v>32</v>
      </c>
      <c r="O241" s="9" t="s">
        <v>32</v>
      </c>
      <c r="P241" s="9" t="s">
        <v>32</v>
      </c>
      <c r="Q241" s="9" t="s">
        <v>32</v>
      </c>
      <c r="R241" s="9" t="s">
        <v>32</v>
      </c>
    </row>
    <row r="242" spans="1:18" ht="20.100000000000001" customHeight="1" x14ac:dyDescent="0.25">
      <c r="A242" s="7"/>
      <c r="B242" s="9" t="s">
        <v>859</v>
      </c>
      <c r="C242" s="9"/>
      <c r="D242" s="9" t="s">
        <v>860</v>
      </c>
      <c r="E242" s="9" t="s">
        <v>45</v>
      </c>
      <c r="F242" s="9" t="s">
        <v>861</v>
      </c>
      <c r="G242" s="7">
        <v>8</v>
      </c>
      <c r="H242" s="9" t="s">
        <v>32</v>
      </c>
      <c r="I242" s="9">
        <f t="shared" si="6"/>
        <v>1192</v>
      </c>
      <c r="J242" s="9">
        <f t="shared" si="7"/>
        <v>149</v>
      </c>
      <c r="K242" s="28" t="s">
        <v>32</v>
      </c>
      <c r="L242" s="3" t="s">
        <v>1289</v>
      </c>
      <c r="M242" s="28" t="s">
        <v>32</v>
      </c>
      <c r="N242" s="9" t="s">
        <v>32</v>
      </c>
      <c r="O242" s="9" t="s">
        <v>32</v>
      </c>
      <c r="P242" s="9" t="s">
        <v>32</v>
      </c>
      <c r="Q242" s="9" t="s">
        <v>32</v>
      </c>
      <c r="R242" s="9" t="s">
        <v>32</v>
      </c>
    </row>
    <row r="243" spans="1:18" ht="20.100000000000001" customHeight="1" x14ac:dyDescent="0.25">
      <c r="A243" s="7"/>
      <c r="B243" s="9" t="s">
        <v>862</v>
      </c>
      <c r="C243" s="9"/>
      <c r="D243" s="9" t="s">
        <v>863</v>
      </c>
      <c r="E243" s="9" t="s">
        <v>74</v>
      </c>
      <c r="F243" s="9" t="s">
        <v>864</v>
      </c>
      <c r="G243" s="7">
        <v>8</v>
      </c>
      <c r="H243" s="9" t="s">
        <v>32</v>
      </c>
      <c r="I243" s="9">
        <f t="shared" si="6"/>
        <v>1152</v>
      </c>
      <c r="J243" s="9">
        <f t="shared" si="7"/>
        <v>144</v>
      </c>
      <c r="K243" s="28" t="s">
        <v>32</v>
      </c>
      <c r="L243" s="28" t="s">
        <v>32</v>
      </c>
      <c r="M243" s="3" t="s">
        <v>1289</v>
      </c>
      <c r="N243" s="9" t="s">
        <v>32</v>
      </c>
      <c r="O243" s="9" t="s">
        <v>32</v>
      </c>
      <c r="P243" s="9" t="s">
        <v>32</v>
      </c>
      <c r="Q243" s="9" t="s">
        <v>32</v>
      </c>
      <c r="R243" s="9" t="s">
        <v>32</v>
      </c>
    </row>
    <row r="244" spans="1:18" ht="20.100000000000001" customHeight="1" x14ac:dyDescent="0.25">
      <c r="A244" s="8">
        <v>1145</v>
      </c>
      <c r="B244" s="10" t="s">
        <v>865</v>
      </c>
      <c r="C244" s="10"/>
      <c r="D244" s="10" t="s">
        <v>866</v>
      </c>
      <c r="E244" s="10" t="s">
        <v>36</v>
      </c>
      <c r="F244" s="10" t="s">
        <v>867</v>
      </c>
      <c r="G244" s="8">
        <v>5</v>
      </c>
      <c r="H244" s="10" t="s">
        <v>868</v>
      </c>
      <c r="I244" s="10">
        <f t="shared" si="6"/>
        <v>795</v>
      </c>
      <c r="J244" s="10">
        <f t="shared" si="7"/>
        <v>159</v>
      </c>
      <c r="K244" s="30" t="s">
        <v>1289</v>
      </c>
      <c r="L244" s="29" t="s">
        <v>32</v>
      </c>
      <c r="M244" s="29" t="s">
        <v>32</v>
      </c>
      <c r="N244" s="10" t="s">
        <v>32</v>
      </c>
      <c r="O244" s="10" t="s">
        <v>32</v>
      </c>
      <c r="P244" s="10" t="s">
        <v>32</v>
      </c>
      <c r="Q244" s="10" t="s">
        <v>32</v>
      </c>
      <c r="R244" s="10" t="s">
        <v>32</v>
      </c>
    </row>
    <row r="245" spans="1:18" ht="20.100000000000001" customHeight="1" x14ac:dyDescent="0.25">
      <c r="A245" s="8"/>
      <c r="B245" s="10" t="s">
        <v>869</v>
      </c>
      <c r="C245" s="10"/>
      <c r="D245" s="10" t="s">
        <v>870</v>
      </c>
      <c r="E245" s="10" t="s">
        <v>45</v>
      </c>
      <c r="F245" s="10" t="s">
        <v>871</v>
      </c>
      <c r="G245" s="8">
        <v>5</v>
      </c>
      <c r="H245" s="10" t="s">
        <v>32</v>
      </c>
      <c r="I245" s="10">
        <f t="shared" si="6"/>
        <v>745</v>
      </c>
      <c r="J245" s="10">
        <f t="shared" si="7"/>
        <v>149</v>
      </c>
      <c r="K245" s="29" t="s">
        <v>32</v>
      </c>
      <c r="L245" s="30" t="s">
        <v>1289</v>
      </c>
      <c r="M245" s="29" t="s">
        <v>32</v>
      </c>
      <c r="N245" s="10" t="s">
        <v>32</v>
      </c>
      <c r="O245" s="10" t="s">
        <v>32</v>
      </c>
      <c r="P245" s="10" t="s">
        <v>32</v>
      </c>
      <c r="Q245" s="10" t="s">
        <v>32</v>
      </c>
      <c r="R245" s="10" t="s">
        <v>32</v>
      </c>
    </row>
    <row r="246" spans="1:18" ht="20.100000000000001" customHeight="1" x14ac:dyDescent="0.25">
      <c r="A246" s="8"/>
      <c r="B246" s="10" t="s">
        <v>872</v>
      </c>
      <c r="C246" s="10"/>
      <c r="D246" s="10" t="s">
        <v>873</v>
      </c>
      <c r="E246" s="10" t="s">
        <v>166</v>
      </c>
      <c r="F246" s="10" t="s">
        <v>874</v>
      </c>
      <c r="G246" s="8">
        <v>5</v>
      </c>
      <c r="H246" s="10" t="s">
        <v>32</v>
      </c>
      <c r="I246" s="10">
        <f t="shared" si="6"/>
        <v>720</v>
      </c>
      <c r="J246" s="10">
        <f t="shared" si="7"/>
        <v>144</v>
      </c>
      <c r="K246" s="29" t="s">
        <v>32</v>
      </c>
      <c r="L246" s="29" t="s">
        <v>32</v>
      </c>
      <c r="M246" s="30" t="s">
        <v>1289</v>
      </c>
      <c r="N246" s="10" t="s">
        <v>32</v>
      </c>
      <c r="O246" s="10" t="s">
        <v>32</v>
      </c>
      <c r="P246" s="10" t="s">
        <v>32</v>
      </c>
      <c r="Q246" s="10" t="s">
        <v>32</v>
      </c>
      <c r="R246" s="10" t="s">
        <v>32</v>
      </c>
    </row>
    <row r="247" spans="1:18" ht="20.100000000000001" customHeight="1" x14ac:dyDescent="0.25">
      <c r="A247" s="7">
        <v>1153</v>
      </c>
      <c r="B247" s="9" t="s">
        <v>875</v>
      </c>
      <c r="C247" s="9"/>
      <c r="D247" s="9" t="s">
        <v>876</v>
      </c>
      <c r="E247" s="9" t="s">
        <v>877</v>
      </c>
      <c r="F247" s="9" t="s">
        <v>878</v>
      </c>
      <c r="G247" s="7">
        <v>1</v>
      </c>
      <c r="H247" s="9" t="s">
        <v>879</v>
      </c>
      <c r="I247" s="9">
        <f t="shared" si="6"/>
        <v>452</v>
      </c>
      <c r="J247" s="9">
        <f t="shared" si="7"/>
        <v>452</v>
      </c>
      <c r="K247" s="3" t="s">
        <v>1289</v>
      </c>
      <c r="L247" s="3" t="s">
        <v>1289</v>
      </c>
      <c r="M247" s="3" t="s">
        <v>1289</v>
      </c>
      <c r="N247" s="9" t="s">
        <v>32</v>
      </c>
      <c r="O247" s="9" t="s">
        <v>32</v>
      </c>
      <c r="P247" s="9" t="s">
        <v>32</v>
      </c>
      <c r="Q247" s="9" t="s">
        <v>32</v>
      </c>
      <c r="R247" s="9" t="s">
        <v>32</v>
      </c>
    </row>
    <row r="248" spans="1:18" ht="20.100000000000001" customHeight="1" x14ac:dyDescent="0.25">
      <c r="A248" s="8">
        <v>1154</v>
      </c>
      <c r="B248" s="10" t="s">
        <v>880</v>
      </c>
      <c r="C248" s="10"/>
      <c r="D248" s="10" t="s">
        <v>881</v>
      </c>
      <c r="E248" s="10" t="s">
        <v>882</v>
      </c>
      <c r="F248" s="10" t="s">
        <v>883</v>
      </c>
      <c r="G248" s="8">
        <v>1</v>
      </c>
      <c r="H248" s="10" t="s">
        <v>884</v>
      </c>
      <c r="I248" s="10">
        <f t="shared" si="6"/>
        <v>452</v>
      </c>
      <c r="J248" s="10">
        <f t="shared" si="7"/>
        <v>452</v>
      </c>
      <c r="K248" s="30" t="s">
        <v>1289</v>
      </c>
      <c r="L248" s="30" t="s">
        <v>1289</v>
      </c>
      <c r="M248" s="30" t="s">
        <v>1289</v>
      </c>
      <c r="N248" s="10" t="s">
        <v>32</v>
      </c>
      <c r="O248" s="10" t="s">
        <v>32</v>
      </c>
      <c r="P248" s="10" t="s">
        <v>32</v>
      </c>
      <c r="Q248" s="10" t="s">
        <v>32</v>
      </c>
      <c r="R248" s="10" t="s">
        <v>32</v>
      </c>
    </row>
    <row r="249" spans="1:18" ht="20.100000000000001" customHeight="1" x14ac:dyDescent="0.25">
      <c r="A249" s="7">
        <v>1160</v>
      </c>
      <c r="B249" s="9" t="s">
        <v>885</v>
      </c>
      <c r="C249" s="9"/>
      <c r="D249" s="9" t="s">
        <v>886</v>
      </c>
      <c r="E249" s="9" t="s">
        <v>877</v>
      </c>
      <c r="F249" s="9" t="s">
        <v>887</v>
      </c>
      <c r="G249" s="7">
        <v>1</v>
      </c>
      <c r="H249" s="9" t="s">
        <v>888</v>
      </c>
      <c r="I249" s="9">
        <f t="shared" si="6"/>
        <v>303</v>
      </c>
      <c r="J249" s="9">
        <f t="shared" si="7"/>
        <v>303</v>
      </c>
      <c r="K249" s="3" t="s">
        <v>1289</v>
      </c>
      <c r="L249" s="28" t="s">
        <v>32</v>
      </c>
      <c r="M249" s="3" t="s">
        <v>1289</v>
      </c>
      <c r="N249" s="9" t="s">
        <v>32</v>
      </c>
      <c r="O249" s="9" t="s">
        <v>32</v>
      </c>
      <c r="P249" s="9" t="s">
        <v>32</v>
      </c>
      <c r="Q249" s="9" t="s">
        <v>32</v>
      </c>
      <c r="R249" s="9" t="s">
        <v>32</v>
      </c>
    </row>
    <row r="250" spans="1:18" ht="20.100000000000001" customHeight="1" x14ac:dyDescent="0.25">
      <c r="A250" s="7"/>
      <c r="B250" s="9" t="s">
        <v>889</v>
      </c>
      <c r="C250" s="9"/>
      <c r="D250" s="9" t="s">
        <v>890</v>
      </c>
      <c r="E250" s="9" t="s">
        <v>891</v>
      </c>
      <c r="F250" s="9" t="s">
        <v>892</v>
      </c>
      <c r="G250" s="7">
        <v>1</v>
      </c>
      <c r="H250" s="9" t="s">
        <v>32</v>
      </c>
      <c r="I250" s="9">
        <f t="shared" si="6"/>
        <v>149</v>
      </c>
      <c r="J250" s="9">
        <f t="shared" si="7"/>
        <v>149</v>
      </c>
      <c r="K250" s="28" t="s">
        <v>32</v>
      </c>
      <c r="L250" s="3" t="s">
        <v>1289</v>
      </c>
      <c r="M250" s="28" t="s">
        <v>32</v>
      </c>
      <c r="N250" s="9" t="s">
        <v>32</v>
      </c>
      <c r="O250" s="9" t="s">
        <v>32</v>
      </c>
      <c r="P250" s="9" t="s">
        <v>32</v>
      </c>
      <c r="Q250" s="9" t="s">
        <v>32</v>
      </c>
      <c r="R250" s="9" t="s">
        <v>32</v>
      </c>
    </row>
    <row r="251" spans="1:18" ht="20.100000000000001" customHeight="1" x14ac:dyDescent="0.25">
      <c r="A251" s="8">
        <v>1163</v>
      </c>
      <c r="B251" s="10" t="s">
        <v>893</v>
      </c>
      <c r="C251" s="10"/>
      <c r="D251" s="10" t="s">
        <v>894</v>
      </c>
      <c r="E251" s="10" t="s">
        <v>81</v>
      </c>
      <c r="F251" s="10" t="s">
        <v>895</v>
      </c>
      <c r="G251" s="8">
        <v>1</v>
      </c>
      <c r="H251" s="10" t="s">
        <v>896</v>
      </c>
      <c r="I251" s="10">
        <f t="shared" si="6"/>
        <v>159</v>
      </c>
      <c r="J251" s="10">
        <f t="shared" si="7"/>
        <v>159</v>
      </c>
      <c r="K251" s="30" t="s">
        <v>1289</v>
      </c>
      <c r="L251" s="29" t="s">
        <v>32</v>
      </c>
      <c r="M251" s="29" t="s">
        <v>32</v>
      </c>
      <c r="N251" s="10" t="s">
        <v>32</v>
      </c>
      <c r="O251" s="10" t="s">
        <v>32</v>
      </c>
      <c r="P251" s="10" t="s">
        <v>32</v>
      </c>
      <c r="Q251" s="10" t="s">
        <v>32</v>
      </c>
      <c r="R251" s="10" t="s">
        <v>32</v>
      </c>
    </row>
    <row r="252" spans="1:18" ht="20.100000000000001" customHeight="1" x14ac:dyDescent="0.25">
      <c r="A252" s="8"/>
      <c r="B252" s="10" t="s">
        <v>897</v>
      </c>
      <c r="C252" s="10"/>
      <c r="D252" s="10" t="s">
        <v>898</v>
      </c>
      <c r="E252" s="10" t="s">
        <v>230</v>
      </c>
      <c r="F252" s="10" t="s">
        <v>899</v>
      </c>
      <c r="G252" s="8">
        <v>1</v>
      </c>
      <c r="H252" s="10" t="s">
        <v>32</v>
      </c>
      <c r="I252" s="10">
        <f t="shared" si="6"/>
        <v>149</v>
      </c>
      <c r="J252" s="10">
        <f t="shared" si="7"/>
        <v>149</v>
      </c>
      <c r="K252" s="29" t="s">
        <v>32</v>
      </c>
      <c r="L252" s="30" t="s">
        <v>1289</v>
      </c>
      <c r="M252" s="29" t="s">
        <v>32</v>
      </c>
      <c r="N252" s="10" t="s">
        <v>32</v>
      </c>
      <c r="O252" s="10" t="s">
        <v>32</v>
      </c>
      <c r="P252" s="10" t="s">
        <v>32</v>
      </c>
      <c r="Q252" s="10" t="s">
        <v>32</v>
      </c>
      <c r="R252" s="10" t="s">
        <v>32</v>
      </c>
    </row>
    <row r="253" spans="1:18" ht="20.100000000000001" customHeight="1" x14ac:dyDescent="0.25">
      <c r="A253" s="8"/>
      <c r="B253" s="10" t="s">
        <v>900</v>
      </c>
      <c r="C253" s="10"/>
      <c r="D253" s="10" t="s">
        <v>901</v>
      </c>
      <c r="E253" s="10" t="s">
        <v>902</v>
      </c>
      <c r="F253" s="10" t="s">
        <v>903</v>
      </c>
      <c r="G253" s="8">
        <v>1</v>
      </c>
      <c r="H253" s="10" t="s">
        <v>32</v>
      </c>
      <c r="I253" s="10">
        <f t="shared" si="6"/>
        <v>144</v>
      </c>
      <c r="J253" s="10">
        <f t="shared" si="7"/>
        <v>144</v>
      </c>
      <c r="K253" s="29" t="s">
        <v>32</v>
      </c>
      <c r="L253" s="29" t="s">
        <v>32</v>
      </c>
      <c r="M253" s="30" t="s">
        <v>1289</v>
      </c>
      <c r="N253" s="10" t="s">
        <v>32</v>
      </c>
      <c r="O253" s="10" t="s">
        <v>32</v>
      </c>
      <c r="P253" s="10" t="s">
        <v>32</v>
      </c>
      <c r="Q253" s="10" t="s">
        <v>32</v>
      </c>
      <c r="R253" s="10" t="s">
        <v>32</v>
      </c>
    </row>
    <row r="254" spans="1:18" ht="20.100000000000001" customHeight="1" x14ac:dyDescent="0.25">
      <c r="A254" s="7">
        <v>1166</v>
      </c>
      <c r="B254" s="9" t="s">
        <v>904</v>
      </c>
      <c r="C254" s="9"/>
      <c r="D254" s="9" t="s">
        <v>905</v>
      </c>
      <c r="E254" s="9" t="s">
        <v>906</v>
      </c>
      <c r="F254" s="9" t="s">
        <v>907</v>
      </c>
      <c r="G254" s="7">
        <v>1</v>
      </c>
      <c r="H254" s="9" t="s">
        <v>908</v>
      </c>
      <c r="I254" s="9">
        <f t="shared" si="6"/>
        <v>303</v>
      </c>
      <c r="J254" s="9">
        <f t="shared" si="7"/>
        <v>303</v>
      </c>
      <c r="K254" s="3" t="s">
        <v>1289</v>
      </c>
      <c r="L254" s="28" t="s">
        <v>32</v>
      </c>
      <c r="M254" s="3" t="s">
        <v>1289</v>
      </c>
      <c r="N254" s="9" t="s">
        <v>32</v>
      </c>
      <c r="O254" s="9" t="s">
        <v>32</v>
      </c>
      <c r="P254" s="9" t="s">
        <v>32</v>
      </c>
      <c r="Q254" s="9" t="s">
        <v>32</v>
      </c>
      <c r="R254" s="9" t="s">
        <v>32</v>
      </c>
    </row>
    <row r="255" spans="1:18" ht="20.100000000000001" customHeight="1" x14ac:dyDescent="0.25">
      <c r="A255" s="7"/>
      <c r="B255" s="9" t="s">
        <v>909</v>
      </c>
      <c r="C255" s="9"/>
      <c r="D255" s="9" t="s">
        <v>910</v>
      </c>
      <c r="E255" s="9" t="s">
        <v>906</v>
      </c>
      <c r="F255" s="9" t="s">
        <v>911</v>
      </c>
      <c r="G255" s="7">
        <v>1</v>
      </c>
      <c r="H255" s="9" t="s">
        <v>32</v>
      </c>
      <c r="I255" s="9">
        <f t="shared" si="6"/>
        <v>149</v>
      </c>
      <c r="J255" s="9">
        <f t="shared" si="7"/>
        <v>149</v>
      </c>
      <c r="K255" s="28" t="s">
        <v>32</v>
      </c>
      <c r="L255" s="3" t="s">
        <v>1289</v>
      </c>
      <c r="M255" s="28" t="s">
        <v>32</v>
      </c>
      <c r="N255" s="9" t="s">
        <v>32</v>
      </c>
      <c r="O255" s="9" t="s">
        <v>32</v>
      </c>
      <c r="P255" s="9" t="s">
        <v>32</v>
      </c>
      <c r="Q255" s="9" t="s">
        <v>32</v>
      </c>
      <c r="R255" s="9" t="s">
        <v>32</v>
      </c>
    </row>
    <row r="256" spans="1:18" ht="20.100000000000001" customHeight="1" x14ac:dyDescent="0.25">
      <c r="A256" s="8">
        <v>1168</v>
      </c>
      <c r="B256" s="10" t="s">
        <v>912</v>
      </c>
      <c r="C256" s="10"/>
      <c r="D256" s="10" t="s">
        <v>913</v>
      </c>
      <c r="E256" s="10" t="s">
        <v>230</v>
      </c>
      <c r="F256" s="10" t="s">
        <v>914</v>
      </c>
      <c r="G256" s="8">
        <v>1</v>
      </c>
      <c r="H256" s="10" t="s">
        <v>915</v>
      </c>
      <c r="I256" s="10">
        <f t="shared" si="6"/>
        <v>452</v>
      </c>
      <c r="J256" s="10">
        <f t="shared" si="7"/>
        <v>452</v>
      </c>
      <c r="K256" s="30" t="s">
        <v>1289</v>
      </c>
      <c r="L256" s="30" t="s">
        <v>1289</v>
      </c>
      <c r="M256" s="30" t="s">
        <v>1289</v>
      </c>
      <c r="N256" s="10" t="s">
        <v>32</v>
      </c>
      <c r="O256" s="10" t="s">
        <v>32</v>
      </c>
      <c r="P256" s="10" t="s">
        <v>32</v>
      </c>
      <c r="Q256" s="10" t="s">
        <v>32</v>
      </c>
      <c r="R256" s="10" t="s">
        <v>32</v>
      </c>
    </row>
    <row r="257" spans="1:18" ht="20.100000000000001" customHeight="1" x14ac:dyDescent="0.25">
      <c r="A257" s="7">
        <v>1169</v>
      </c>
      <c r="B257" s="9" t="s">
        <v>916</v>
      </c>
      <c r="C257" s="9"/>
      <c r="D257" s="9" t="s">
        <v>917</v>
      </c>
      <c r="E257" s="9" t="s">
        <v>36</v>
      </c>
      <c r="F257" s="9" t="s">
        <v>918</v>
      </c>
      <c r="G257" s="7">
        <v>2</v>
      </c>
      <c r="H257" s="9" t="s">
        <v>919</v>
      </c>
      <c r="I257" s="9">
        <f t="shared" si="6"/>
        <v>606</v>
      </c>
      <c r="J257" s="9">
        <f t="shared" si="7"/>
        <v>303</v>
      </c>
      <c r="K257" s="3" t="s">
        <v>1289</v>
      </c>
      <c r="L257" s="28" t="s">
        <v>32</v>
      </c>
      <c r="M257" s="3" t="s">
        <v>1289</v>
      </c>
      <c r="N257" s="9" t="s">
        <v>32</v>
      </c>
      <c r="O257" s="9" t="s">
        <v>32</v>
      </c>
      <c r="P257" s="9" t="s">
        <v>32</v>
      </c>
      <c r="Q257" s="9" t="s">
        <v>32</v>
      </c>
      <c r="R257" s="9" t="s">
        <v>32</v>
      </c>
    </row>
    <row r="258" spans="1:18" ht="20.100000000000001" customHeight="1" x14ac:dyDescent="0.25">
      <c r="A258" s="7"/>
      <c r="B258" s="9" t="s">
        <v>920</v>
      </c>
      <c r="C258" s="9"/>
      <c r="D258" s="9" t="s">
        <v>921</v>
      </c>
      <c r="E258" s="9" t="s">
        <v>45</v>
      </c>
      <c r="F258" s="9" t="s">
        <v>922</v>
      </c>
      <c r="G258" s="7">
        <v>2</v>
      </c>
      <c r="H258" s="9" t="s">
        <v>32</v>
      </c>
      <c r="I258" s="9">
        <f t="shared" si="6"/>
        <v>298</v>
      </c>
      <c r="J258" s="9">
        <f t="shared" si="7"/>
        <v>149</v>
      </c>
      <c r="K258" s="28" t="s">
        <v>32</v>
      </c>
      <c r="L258" s="3" t="s">
        <v>1289</v>
      </c>
      <c r="M258" s="28" t="s">
        <v>32</v>
      </c>
      <c r="N258" s="9" t="s">
        <v>32</v>
      </c>
      <c r="O258" s="9" t="s">
        <v>32</v>
      </c>
      <c r="P258" s="9" t="s">
        <v>32</v>
      </c>
      <c r="Q258" s="9" t="s">
        <v>32</v>
      </c>
      <c r="R258" s="9" t="s">
        <v>32</v>
      </c>
    </row>
    <row r="259" spans="1:18" ht="20.100000000000001" customHeight="1" x14ac:dyDescent="0.25">
      <c r="A259" s="8">
        <v>1199</v>
      </c>
      <c r="B259" s="10" t="s">
        <v>923</v>
      </c>
      <c r="C259" s="10"/>
      <c r="D259" s="10" t="s">
        <v>924</v>
      </c>
      <c r="E259" s="10" t="s">
        <v>81</v>
      </c>
      <c r="F259" s="10" t="s">
        <v>925</v>
      </c>
      <c r="G259" s="8">
        <v>2</v>
      </c>
      <c r="H259" s="10" t="s">
        <v>926</v>
      </c>
      <c r="I259" s="10">
        <f t="shared" si="6"/>
        <v>318</v>
      </c>
      <c r="J259" s="10">
        <f t="shared" si="7"/>
        <v>159</v>
      </c>
      <c r="K259" s="30" t="s">
        <v>1289</v>
      </c>
      <c r="L259" s="29" t="s">
        <v>32</v>
      </c>
      <c r="M259" s="29" t="s">
        <v>32</v>
      </c>
      <c r="N259" s="10" t="s">
        <v>32</v>
      </c>
      <c r="O259" s="10" t="s">
        <v>32</v>
      </c>
      <c r="P259" s="10" t="s">
        <v>32</v>
      </c>
      <c r="Q259" s="10" t="s">
        <v>32</v>
      </c>
      <c r="R259" s="10" t="s">
        <v>32</v>
      </c>
    </row>
    <row r="260" spans="1:18" ht="20.100000000000001" customHeight="1" x14ac:dyDescent="0.25">
      <c r="A260" s="8"/>
      <c r="B260" s="10" t="s">
        <v>927</v>
      </c>
      <c r="C260" s="10"/>
      <c r="D260" s="10" t="s">
        <v>928</v>
      </c>
      <c r="E260" s="10" t="s">
        <v>429</v>
      </c>
      <c r="F260" s="10" t="s">
        <v>929</v>
      </c>
      <c r="G260" s="8">
        <v>2</v>
      </c>
      <c r="H260" s="10" t="s">
        <v>32</v>
      </c>
      <c r="I260" s="10">
        <f t="shared" si="6"/>
        <v>298</v>
      </c>
      <c r="J260" s="10">
        <f t="shared" si="7"/>
        <v>149</v>
      </c>
      <c r="K260" s="29" t="s">
        <v>32</v>
      </c>
      <c r="L260" s="30" t="s">
        <v>1289</v>
      </c>
      <c r="M260" s="29" t="s">
        <v>32</v>
      </c>
      <c r="N260" s="10" t="s">
        <v>32</v>
      </c>
      <c r="O260" s="10" t="s">
        <v>32</v>
      </c>
      <c r="P260" s="10" t="s">
        <v>32</v>
      </c>
      <c r="Q260" s="10" t="s">
        <v>32</v>
      </c>
      <c r="R260" s="10" t="s">
        <v>32</v>
      </c>
    </row>
    <row r="261" spans="1:18" ht="20.100000000000001" customHeight="1" x14ac:dyDescent="0.25">
      <c r="A261" s="8"/>
      <c r="B261" s="10" t="s">
        <v>930</v>
      </c>
      <c r="C261" s="10"/>
      <c r="D261" s="10" t="s">
        <v>931</v>
      </c>
      <c r="E261" s="10" t="s">
        <v>41</v>
      </c>
      <c r="F261" s="10" t="s">
        <v>932</v>
      </c>
      <c r="G261" s="8">
        <v>2</v>
      </c>
      <c r="H261" s="10" t="s">
        <v>32</v>
      </c>
      <c r="I261" s="10">
        <f t="shared" si="6"/>
        <v>288</v>
      </c>
      <c r="J261" s="10">
        <f t="shared" si="7"/>
        <v>144</v>
      </c>
      <c r="K261" s="29" t="s">
        <v>32</v>
      </c>
      <c r="L261" s="29" t="s">
        <v>32</v>
      </c>
      <c r="M261" s="30" t="s">
        <v>1289</v>
      </c>
      <c r="N261" s="10" t="s">
        <v>32</v>
      </c>
      <c r="O261" s="10" t="s">
        <v>32</v>
      </c>
      <c r="P261" s="10" t="s">
        <v>32</v>
      </c>
      <c r="Q261" s="10" t="s">
        <v>32</v>
      </c>
      <c r="R261" s="10" t="s">
        <v>32</v>
      </c>
    </row>
    <row r="262" spans="1:18" ht="20.100000000000001" customHeight="1" x14ac:dyDescent="0.25">
      <c r="A262" s="7">
        <v>1291</v>
      </c>
      <c r="B262" s="9" t="s">
        <v>933</v>
      </c>
      <c r="C262" s="9"/>
      <c r="D262" s="9" t="s">
        <v>934</v>
      </c>
      <c r="E262" s="9" t="s">
        <v>372</v>
      </c>
      <c r="F262" s="9" t="s">
        <v>935</v>
      </c>
      <c r="G262" s="7">
        <v>1</v>
      </c>
      <c r="H262" s="9" t="s">
        <v>936</v>
      </c>
      <c r="I262" s="9">
        <f t="shared" ref="I262:I271" si="8">G262*J262</f>
        <v>159</v>
      </c>
      <c r="J262" s="9">
        <f t="shared" ref="J262:J271" si="9">IF(EXACT(K262,"V"),$K$5,0)+IF(EXACT(L262,"V"),$L$5,0)+IF(EXACT(M262,"V"),$M$5,0)+IF(EXACT(N262,"V"),$N$5,0)+IF(EXACT(O262,"V"),$O$5,0)+IF(EXACT(P262,"V"),$P$5,0)+IF(EXACT(Q262,"V"),$Q$5,0)</f>
        <v>159</v>
      </c>
      <c r="K262" s="3" t="s">
        <v>1289</v>
      </c>
      <c r="L262" s="28" t="s">
        <v>32</v>
      </c>
      <c r="M262" s="28" t="s">
        <v>32</v>
      </c>
      <c r="N262" s="9" t="s">
        <v>32</v>
      </c>
      <c r="O262" s="9" t="s">
        <v>32</v>
      </c>
      <c r="P262" s="9" t="s">
        <v>32</v>
      </c>
      <c r="Q262" s="9" t="s">
        <v>32</v>
      </c>
      <c r="R262" s="9" t="s">
        <v>32</v>
      </c>
    </row>
    <row r="263" spans="1:18" ht="20.100000000000001" customHeight="1" x14ac:dyDescent="0.25">
      <c r="A263" s="7"/>
      <c r="B263" s="9" t="s">
        <v>937</v>
      </c>
      <c r="C263" s="9"/>
      <c r="D263" s="9" t="s">
        <v>934</v>
      </c>
      <c r="E263" s="9" t="s">
        <v>368</v>
      </c>
      <c r="F263" s="9" t="s">
        <v>938</v>
      </c>
      <c r="G263" s="7">
        <v>1</v>
      </c>
      <c r="H263" s="9" t="s">
        <v>32</v>
      </c>
      <c r="I263" s="9">
        <f t="shared" si="8"/>
        <v>149</v>
      </c>
      <c r="J263" s="9">
        <f t="shared" si="9"/>
        <v>149</v>
      </c>
      <c r="K263" s="28" t="s">
        <v>32</v>
      </c>
      <c r="L263" s="3" t="s">
        <v>1289</v>
      </c>
      <c r="M263" s="28" t="s">
        <v>32</v>
      </c>
      <c r="N263" s="9" t="s">
        <v>32</v>
      </c>
      <c r="O263" s="9" t="s">
        <v>32</v>
      </c>
      <c r="P263" s="9" t="s">
        <v>32</v>
      </c>
      <c r="Q263" s="9" t="s">
        <v>32</v>
      </c>
      <c r="R263" s="9" t="s">
        <v>32</v>
      </c>
    </row>
    <row r="264" spans="1:18" ht="20.100000000000001" customHeight="1" x14ac:dyDescent="0.25">
      <c r="A264" s="7"/>
      <c r="B264" s="9" t="s">
        <v>939</v>
      </c>
      <c r="C264" s="9"/>
      <c r="D264" s="9" t="s">
        <v>934</v>
      </c>
      <c r="E264" s="9" t="s">
        <v>364</v>
      </c>
      <c r="F264" s="9" t="s">
        <v>940</v>
      </c>
      <c r="G264" s="7">
        <v>1</v>
      </c>
      <c r="H264" s="9" t="s">
        <v>32</v>
      </c>
      <c r="I264" s="9">
        <f t="shared" si="8"/>
        <v>144</v>
      </c>
      <c r="J264" s="9">
        <f t="shared" si="9"/>
        <v>144</v>
      </c>
      <c r="K264" s="28" t="s">
        <v>32</v>
      </c>
      <c r="L264" s="28" t="s">
        <v>32</v>
      </c>
      <c r="M264" s="3" t="s">
        <v>1289</v>
      </c>
      <c r="N264" s="9" t="s">
        <v>32</v>
      </c>
      <c r="O264" s="9" t="s">
        <v>32</v>
      </c>
      <c r="P264" s="9" t="s">
        <v>32</v>
      </c>
      <c r="Q264" s="9" t="s">
        <v>32</v>
      </c>
      <c r="R264" s="9" t="s">
        <v>32</v>
      </c>
    </row>
    <row r="265" spans="1:18" ht="20.100000000000001" customHeight="1" x14ac:dyDescent="0.25">
      <c r="A265" s="8">
        <v>1292</v>
      </c>
      <c r="B265" s="10" t="s">
        <v>941</v>
      </c>
      <c r="C265" s="10"/>
      <c r="D265" s="10" t="s">
        <v>942</v>
      </c>
      <c r="E265" s="10" t="s">
        <v>199</v>
      </c>
      <c r="F265" s="10" t="s">
        <v>943</v>
      </c>
      <c r="G265" s="8">
        <v>2</v>
      </c>
      <c r="H265" s="10" t="s">
        <v>944</v>
      </c>
      <c r="I265" s="10">
        <f t="shared" si="8"/>
        <v>904</v>
      </c>
      <c r="J265" s="10">
        <f t="shared" si="9"/>
        <v>452</v>
      </c>
      <c r="K265" s="30" t="s">
        <v>1289</v>
      </c>
      <c r="L265" s="30" t="s">
        <v>1289</v>
      </c>
      <c r="M265" s="30" t="s">
        <v>1289</v>
      </c>
      <c r="N265" s="10" t="s">
        <v>32</v>
      </c>
      <c r="O265" s="10" t="s">
        <v>32</v>
      </c>
      <c r="P265" s="10" t="s">
        <v>32</v>
      </c>
      <c r="Q265" s="10" t="s">
        <v>32</v>
      </c>
      <c r="R265" s="10" t="s">
        <v>32</v>
      </c>
    </row>
    <row r="266" spans="1:18" ht="20.100000000000001" customHeight="1" x14ac:dyDescent="0.25">
      <c r="A266" s="7">
        <v>1296</v>
      </c>
      <c r="B266" s="9" t="s">
        <v>945</v>
      </c>
      <c r="C266" s="9"/>
      <c r="D266" s="9" t="s">
        <v>946</v>
      </c>
      <c r="E266" s="9" t="s">
        <v>947</v>
      </c>
      <c r="F266" s="9" t="s">
        <v>948</v>
      </c>
      <c r="G266" s="7">
        <v>1</v>
      </c>
      <c r="H266" s="9" t="s">
        <v>949</v>
      </c>
      <c r="I266" s="9">
        <f t="shared" si="8"/>
        <v>159</v>
      </c>
      <c r="J266" s="9">
        <f t="shared" si="9"/>
        <v>159</v>
      </c>
      <c r="K266" s="3" t="s">
        <v>1289</v>
      </c>
      <c r="L266" s="28" t="s">
        <v>32</v>
      </c>
      <c r="M266" s="28" t="s">
        <v>32</v>
      </c>
      <c r="N266" s="9" t="s">
        <v>32</v>
      </c>
      <c r="O266" s="9" t="s">
        <v>32</v>
      </c>
      <c r="P266" s="9" t="s">
        <v>32</v>
      </c>
      <c r="Q266" s="9" t="s">
        <v>32</v>
      </c>
      <c r="R266" s="9" t="s">
        <v>32</v>
      </c>
    </row>
    <row r="267" spans="1:18" ht="20.100000000000001" customHeight="1" x14ac:dyDescent="0.25">
      <c r="A267" s="7"/>
      <c r="B267" s="9" t="s">
        <v>950</v>
      </c>
      <c r="C267" s="9"/>
      <c r="D267" s="9" t="s">
        <v>946</v>
      </c>
      <c r="E267" s="9" t="s">
        <v>951</v>
      </c>
      <c r="F267" s="9" t="s">
        <v>952</v>
      </c>
      <c r="G267" s="7">
        <v>1</v>
      </c>
      <c r="H267" s="9" t="s">
        <v>32</v>
      </c>
      <c r="I267" s="9">
        <f t="shared" si="8"/>
        <v>149</v>
      </c>
      <c r="J267" s="9">
        <f t="shared" si="9"/>
        <v>149</v>
      </c>
      <c r="K267" s="28" t="s">
        <v>32</v>
      </c>
      <c r="L267" s="3" t="s">
        <v>1289</v>
      </c>
      <c r="M267" s="28" t="s">
        <v>32</v>
      </c>
      <c r="N267" s="9" t="s">
        <v>32</v>
      </c>
      <c r="O267" s="9" t="s">
        <v>32</v>
      </c>
      <c r="P267" s="9" t="s">
        <v>32</v>
      </c>
      <c r="Q267" s="9" t="s">
        <v>32</v>
      </c>
      <c r="R267" s="9" t="s">
        <v>32</v>
      </c>
    </row>
    <row r="268" spans="1:18" ht="20.100000000000001" customHeight="1" x14ac:dyDescent="0.25">
      <c r="A268" s="7"/>
      <c r="B268" s="9" t="s">
        <v>953</v>
      </c>
      <c r="C268" s="9"/>
      <c r="D268" s="9" t="s">
        <v>946</v>
      </c>
      <c r="E268" s="9" t="s">
        <v>954</v>
      </c>
      <c r="F268" s="9" t="s">
        <v>955</v>
      </c>
      <c r="G268" s="7">
        <v>1</v>
      </c>
      <c r="H268" s="9" t="s">
        <v>32</v>
      </c>
      <c r="I268" s="9">
        <f t="shared" si="8"/>
        <v>144</v>
      </c>
      <c r="J268" s="9">
        <f t="shared" si="9"/>
        <v>144</v>
      </c>
      <c r="K268" s="28" t="s">
        <v>32</v>
      </c>
      <c r="L268" s="28" t="s">
        <v>32</v>
      </c>
      <c r="M268" s="3" t="s">
        <v>1289</v>
      </c>
      <c r="N268" s="9" t="s">
        <v>32</v>
      </c>
      <c r="O268" s="9" t="s">
        <v>32</v>
      </c>
      <c r="P268" s="9" t="s">
        <v>32</v>
      </c>
      <c r="Q268" s="9" t="s">
        <v>32</v>
      </c>
      <c r="R268" s="9" t="s">
        <v>32</v>
      </c>
    </row>
    <row r="269" spans="1:18" ht="20.100000000000001" customHeight="1" x14ac:dyDescent="0.25">
      <c r="A269" s="8">
        <v>1297</v>
      </c>
      <c r="B269" s="10" t="s">
        <v>956</v>
      </c>
      <c r="C269" s="10"/>
      <c r="D269" s="10" t="s">
        <v>957</v>
      </c>
      <c r="E269" s="10" t="s">
        <v>947</v>
      </c>
      <c r="F269" s="10" t="s">
        <v>958</v>
      </c>
      <c r="G269" s="8">
        <v>1</v>
      </c>
      <c r="H269" s="10" t="s">
        <v>959</v>
      </c>
      <c r="I269" s="10">
        <f t="shared" si="8"/>
        <v>159</v>
      </c>
      <c r="J269" s="10">
        <f t="shared" si="9"/>
        <v>159</v>
      </c>
      <c r="K269" s="30" t="s">
        <v>1289</v>
      </c>
      <c r="L269" s="29" t="s">
        <v>32</v>
      </c>
      <c r="M269" s="29" t="s">
        <v>32</v>
      </c>
      <c r="N269" s="10" t="s">
        <v>32</v>
      </c>
      <c r="O269" s="10" t="s">
        <v>32</v>
      </c>
      <c r="P269" s="10" t="s">
        <v>32</v>
      </c>
      <c r="Q269" s="10" t="s">
        <v>32</v>
      </c>
      <c r="R269" s="10" t="s">
        <v>32</v>
      </c>
    </row>
    <row r="270" spans="1:18" ht="20.100000000000001" customHeight="1" x14ac:dyDescent="0.25">
      <c r="A270" s="8"/>
      <c r="B270" s="10" t="s">
        <v>960</v>
      </c>
      <c r="C270" s="10"/>
      <c r="D270" s="10" t="s">
        <v>961</v>
      </c>
      <c r="E270" s="10" t="s">
        <v>954</v>
      </c>
      <c r="F270" s="10" t="s">
        <v>962</v>
      </c>
      <c r="G270" s="8">
        <v>1</v>
      </c>
      <c r="H270" s="10" t="s">
        <v>32</v>
      </c>
      <c r="I270" s="10">
        <f t="shared" si="8"/>
        <v>149</v>
      </c>
      <c r="J270" s="10">
        <f t="shared" si="9"/>
        <v>149</v>
      </c>
      <c r="K270" s="29" t="s">
        <v>32</v>
      </c>
      <c r="L270" s="30" t="s">
        <v>1289</v>
      </c>
      <c r="M270" s="29" t="s">
        <v>32</v>
      </c>
      <c r="N270" s="10" t="s">
        <v>32</v>
      </c>
      <c r="O270" s="10" t="s">
        <v>32</v>
      </c>
      <c r="P270" s="10" t="s">
        <v>32</v>
      </c>
      <c r="Q270" s="10" t="s">
        <v>32</v>
      </c>
      <c r="R270" s="10" t="s">
        <v>32</v>
      </c>
    </row>
    <row r="271" spans="1:18" ht="20.100000000000001" customHeight="1" x14ac:dyDescent="0.25">
      <c r="A271" s="8"/>
      <c r="B271" s="10" t="s">
        <v>963</v>
      </c>
      <c r="C271" s="10"/>
      <c r="D271" s="10" t="s">
        <v>964</v>
      </c>
      <c r="E271" s="10" t="s">
        <v>951</v>
      </c>
      <c r="F271" s="10" t="s">
        <v>965</v>
      </c>
      <c r="G271" s="8">
        <v>1</v>
      </c>
      <c r="H271" s="10" t="s">
        <v>32</v>
      </c>
      <c r="I271" s="10">
        <f t="shared" si="8"/>
        <v>144</v>
      </c>
      <c r="J271" s="10">
        <f t="shared" si="9"/>
        <v>144</v>
      </c>
      <c r="K271" s="29" t="s">
        <v>32</v>
      </c>
      <c r="L271" s="29" t="s">
        <v>32</v>
      </c>
      <c r="M271" s="30" t="s">
        <v>1289</v>
      </c>
      <c r="N271" s="10" t="s">
        <v>32</v>
      </c>
      <c r="O271" s="10" t="s">
        <v>32</v>
      </c>
      <c r="P271" s="10" t="s">
        <v>32</v>
      </c>
      <c r="Q271" s="10" t="s">
        <v>32</v>
      </c>
      <c r="R271" s="10" t="s">
        <v>32</v>
      </c>
    </row>
  </sheetData>
  <autoFilter ref="A5:R271" xr:uid="{00000000-0001-0000-0100-000000000000}"/>
  <mergeCells count="2">
    <mergeCell ref="A1:R1"/>
    <mergeCell ref="A2:R2"/>
  </mergeCells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3"/>
  <sheetViews>
    <sheetView zoomScaleNormal="100" workbookViewId="0">
      <selection activeCell="M49" sqref="M49"/>
    </sheetView>
  </sheetViews>
  <sheetFormatPr defaultRowHeight="20.100000000000001" customHeight="1" x14ac:dyDescent="0.25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30.140625" customWidth="1"/>
    <col min="9" max="9" width="12.7109375" bestFit="1" customWidth="1"/>
    <col min="10" max="10" width="12" bestFit="1" customWidth="1"/>
    <col min="11" max="13" width="6" style="31" customWidth="1"/>
    <col min="14" max="18" width="6" customWidth="1"/>
  </cols>
  <sheetData>
    <row r="1" spans="1:18" ht="20.100000000000001" customHeight="1" x14ac:dyDescent="0.25">
      <c r="A1" s="63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20.100000000000001" customHeight="1" x14ac:dyDescent="0.25">
      <c r="A2" s="63" t="s">
        <v>16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ht="20.100000000000001" customHeight="1" x14ac:dyDescent="0.25">
      <c r="A3" s="11"/>
      <c r="B3" s="11" t="s">
        <v>2</v>
      </c>
      <c r="C3" s="11"/>
      <c r="D3" s="11" t="s">
        <v>17</v>
      </c>
      <c r="E3" s="11"/>
      <c r="F3" s="11" t="s">
        <v>18</v>
      </c>
      <c r="G3" s="11"/>
      <c r="H3" s="11" t="s">
        <v>3</v>
      </c>
      <c r="I3" s="11"/>
      <c r="J3" s="11" t="s">
        <v>4</v>
      </c>
      <c r="K3" s="37"/>
      <c r="L3" s="37"/>
      <c r="M3" s="37"/>
      <c r="N3" s="11"/>
      <c r="O3" s="11"/>
      <c r="P3" s="11"/>
      <c r="Q3" s="11"/>
      <c r="R3" s="11"/>
    </row>
    <row r="4" spans="1:18" ht="20.100000000000001" customHeight="1" x14ac:dyDescent="0.25">
      <c r="A4" s="11"/>
      <c r="B4" s="11" t="s">
        <v>5</v>
      </c>
      <c r="C4" s="11"/>
      <c r="D4" s="11"/>
      <c r="E4" s="11"/>
      <c r="F4" s="11" t="s">
        <v>19</v>
      </c>
      <c r="G4" s="11"/>
      <c r="H4" s="11" t="s">
        <v>6</v>
      </c>
      <c r="I4" s="11"/>
      <c r="J4" s="11"/>
      <c r="K4" s="13" t="s">
        <v>20</v>
      </c>
      <c r="L4" s="13" t="s">
        <v>21</v>
      </c>
      <c r="M4" s="13" t="s">
        <v>22</v>
      </c>
      <c r="N4" s="13" t="s">
        <v>23</v>
      </c>
      <c r="O4" s="13" t="s">
        <v>24</v>
      </c>
      <c r="P4" s="13" t="s">
        <v>25</v>
      </c>
      <c r="Q4" s="13" t="s">
        <v>26</v>
      </c>
      <c r="R4" s="11"/>
    </row>
    <row r="5" spans="1:18" ht="20.100000000000001" customHeight="1" x14ac:dyDescent="0.25">
      <c r="A5" s="12" t="s">
        <v>8</v>
      </c>
      <c r="B5" s="12" t="s">
        <v>9</v>
      </c>
      <c r="C5" s="12" t="s">
        <v>10</v>
      </c>
      <c r="D5" s="12" t="s">
        <v>27</v>
      </c>
      <c r="E5" s="12" t="s">
        <v>12</v>
      </c>
      <c r="F5" s="12" t="s">
        <v>13</v>
      </c>
      <c r="G5" s="12" t="s">
        <v>28</v>
      </c>
      <c r="H5" s="12" t="s">
        <v>29</v>
      </c>
      <c r="I5" s="12" t="s">
        <v>30</v>
      </c>
      <c r="J5" s="12" t="s">
        <v>31</v>
      </c>
      <c r="K5" s="5">
        <v>159</v>
      </c>
      <c r="L5" s="5">
        <v>149</v>
      </c>
      <c r="M5" s="5">
        <v>144</v>
      </c>
      <c r="N5" s="12" t="s">
        <v>32</v>
      </c>
      <c r="O5" s="12" t="s">
        <v>32</v>
      </c>
      <c r="P5" s="12" t="s">
        <v>32</v>
      </c>
      <c r="Q5" s="12" t="s">
        <v>32</v>
      </c>
      <c r="R5" s="12" t="s">
        <v>33</v>
      </c>
    </row>
    <row r="6" spans="1:18" ht="20.100000000000001" customHeight="1" x14ac:dyDescent="0.25">
      <c r="A6" s="14">
        <v>1</v>
      </c>
      <c r="B6" s="16" t="s">
        <v>966</v>
      </c>
      <c r="C6" s="16"/>
      <c r="D6" s="16" t="s">
        <v>967</v>
      </c>
      <c r="E6" s="16" t="s">
        <v>194</v>
      </c>
      <c r="F6" s="16" t="s">
        <v>968</v>
      </c>
      <c r="G6" s="14">
        <v>1</v>
      </c>
      <c r="H6" s="16" t="s">
        <v>969</v>
      </c>
      <c r="I6" s="16">
        <f t="shared" ref="I6:I37" si="0">G6*J6</f>
        <v>452</v>
      </c>
      <c r="J6" s="16">
        <f t="shared" ref="J6:J37" si="1">IF(EXACT(K6,"V"),$K$5,0)+IF(EXACT(L6,"V"),$L$5,0)+IF(EXACT(M6,"V"),$M$5,0)+IF(EXACT(N6,"V"),$N$5,0)+IF(EXACT(O6,"V"),$O$5,0)+IF(EXACT(P6,"V"),$P$5,0)+IF(EXACT(Q6,"V"),$Q$5,0)</f>
        <v>452</v>
      </c>
      <c r="K6" s="3" t="s">
        <v>1289</v>
      </c>
      <c r="L6" s="3" t="s">
        <v>1289</v>
      </c>
      <c r="M6" s="3" t="s">
        <v>1289</v>
      </c>
      <c r="N6" s="16" t="s">
        <v>32</v>
      </c>
      <c r="O6" s="16" t="s">
        <v>32</v>
      </c>
      <c r="P6" s="16" t="s">
        <v>32</v>
      </c>
      <c r="Q6" s="16" t="s">
        <v>32</v>
      </c>
      <c r="R6" s="16" t="s">
        <v>32</v>
      </c>
    </row>
    <row r="7" spans="1:18" ht="20.100000000000001" customHeight="1" x14ac:dyDescent="0.25">
      <c r="A7" s="15">
        <v>2</v>
      </c>
      <c r="B7" s="17" t="s">
        <v>970</v>
      </c>
      <c r="C7" s="17"/>
      <c r="D7" s="17" t="s">
        <v>971</v>
      </c>
      <c r="E7" s="17" t="s">
        <v>972</v>
      </c>
      <c r="F7" s="17" t="s">
        <v>973</v>
      </c>
      <c r="G7" s="15">
        <v>1</v>
      </c>
      <c r="H7" s="17" t="s">
        <v>974</v>
      </c>
      <c r="I7" s="17">
        <f t="shared" si="0"/>
        <v>159</v>
      </c>
      <c r="J7" s="17">
        <f t="shared" si="1"/>
        <v>159</v>
      </c>
      <c r="K7" s="30" t="s">
        <v>1289</v>
      </c>
      <c r="L7" s="39" t="s">
        <v>32</v>
      </c>
      <c r="M7" s="39" t="s">
        <v>32</v>
      </c>
      <c r="N7" s="17" t="s">
        <v>32</v>
      </c>
      <c r="O7" s="17" t="s">
        <v>32</v>
      </c>
      <c r="P7" s="17" t="s">
        <v>32</v>
      </c>
      <c r="Q7" s="17" t="s">
        <v>32</v>
      </c>
      <c r="R7" s="17" t="s">
        <v>32</v>
      </c>
    </row>
    <row r="8" spans="1:18" ht="20.100000000000001" customHeight="1" x14ac:dyDescent="0.25">
      <c r="A8" s="15"/>
      <c r="B8" s="17" t="s">
        <v>975</v>
      </c>
      <c r="C8" s="17"/>
      <c r="D8" s="17" t="s">
        <v>971</v>
      </c>
      <c r="E8" s="17" t="s">
        <v>976</v>
      </c>
      <c r="F8" s="17" t="s">
        <v>977</v>
      </c>
      <c r="G8" s="15">
        <v>1</v>
      </c>
      <c r="H8" s="17" t="s">
        <v>32</v>
      </c>
      <c r="I8" s="17">
        <f t="shared" si="0"/>
        <v>149</v>
      </c>
      <c r="J8" s="17">
        <f t="shared" si="1"/>
        <v>149</v>
      </c>
      <c r="K8" s="39" t="s">
        <v>32</v>
      </c>
      <c r="L8" s="30" t="s">
        <v>1289</v>
      </c>
      <c r="M8" s="39" t="s">
        <v>32</v>
      </c>
      <c r="N8" s="17" t="s">
        <v>32</v>
      </c>
      <c r="O8" s="17" t="s">
        <v>32</v>
      </c>
      <c r="P8" s="17" t="s">
        <v>32</v>
      </c>
      <c r="Q8" s="17" t="s">
        <v>32</v>
      </c>
      <c r="R8" s="17" t="s">
        <v>32</v>
      </c>
    </row>
    <row r="9" spans="1:18" ht="20.100000000000001" customHeight="1" x14ac:dyDescent="0.25">
      <c r="A9" s="15"/>
      <c r="B9" s="17" t="s">
        <v>978</v>
      </c>
      <c r="C9" s="17"/>
      <c r="D9" s="17" t="s">
        <v>971</v>
      </c>
      <c r="E9" s="17" t="s">
        <v>359</v>
      </c>
      <c r="F9" s="17" t="s">
        <v>979</v>
      </c>
      <c r="G9" s="15">
        <v>1</v>
      </c>
      <c r="H9" s="17" t="s">
        <v>32</v>
      </c>
      <c r="I9" s="17">
        <f t="shared" si="0"/>
        <v>144</v>
      </c>
      <c r="J9" s="17">
        <f t="shared" si="1"/>
        <v>144</v>
      </c>
      <c r="K9" s="39" t="s">
        <v>32</v>
      </c>
      <c r="L9" s="39" t="s">
        <v>32</v>
      </c>
      <c r="M9" s="30" t="s">
        <v>1289</v>
      </c>
      <c r="N9" s="17" t="s">
        <v>32</v>
      </c>
      <c r="O9" s="17" t="s">
        <v>32</v>
      </c>
      <c r="P9" s="17" t="s">
        <v>32</v>
      </c>
      <c r="Q9" s="17" t="s">
        <v>32</v>
      </c>
      <c r="R9" s="17" t="s">
        <v>32</v>
      </c>
    </row>
    <row r="10" spans="1:18" ht="20.100000000000001" customHeight="1" x14ac:dyDescent="0.25">
      <c r="A10" s="14">
        <v>3</v>
      </c>
      <c r="B10" s="16" t="s">
        <v>980</v>
      </c>
      <c r="C10" s="16"/>
      <c r="D10" s="16" t="s">
        <v>981</v>
      </c>
      <c r="E10" s="16" t="s">
        <v>982</v>
      </c>
      <c r="F10" s="16" t="s">
        <v>983</v>
      </c>
      <c r="G10" s="14">
        <v>1</v>
      </c>
      <c r="H10" s="16" t="s">
        <v>984</v>
      </c>
      <c r="I10" s="16">
        <f t="shared" si="0"/>
        <v>159</v>
      </c>
      <c r="J10" s="16">
        <f t="shared" si="1"/>
        <v>159</v>
      </c>
      <c r="K10" s="3" t="s">
        <v>1289</v>
      </c>
      <c r="L10" s="38" t="s">
        <v>32</v>
      </c>
      <c r="M10" s="38" t="s">
        <v>32</v>
      </c>
      <c r="N10" s="16" t="s">
        <v>32</v>
      </c>
      <c r="O10" s="16" t="s">
        <v>32</v>
      </c>
      <c r="P10" s="16" t="s">
        <v>32</v>
      </c>
      <c r="Q10" s="16" t="s">
        <v>32</v>
      </c>
      <c r="R10" s="16" t="s">
        <v>32</v>
      </c>
    </row>
    <row r="11" spans="1:18" ht="20.100000000000001" customHeight="1" x14ac:dyDescent="0.25">
      <c r="A11" s="14"/>
      <c r="B11" s="16" t="s">
        <v>985</v>
      </c>
      <c r="C11" s="16"/>
      <c r="D11" s="16" t="s">
        <v>981</v>
      </c>
      <c r="E11" s="16" t="s">
        <v>986</v>
      </c>
      <c r="F11" s="16" t="s">
        <v>987</v>
      </c>
      <c r="G11" s="14">
        <v>1</v>
      </c>
      <c r="H11" s="16" t="s">
        <v>32</v>
      </c>
      <c r="I11" s="16">
        <f t="shared" si="0"/>
        <v>149</v>
      </c>
      <c r="J11" s="16">
        <f t="shared" si="1"/>
        <v>149</v>
      </c>
      <c r="K11" s="38" t="s">
        <v>32</v>
      </c>
      <c r="L11" s="3" t="s">
        <v>1289</v>
      </c>
      <c r="M11" s="38" t="s">
        <v>32</v>
      </c>
      <c r="N11" s="16" t="s">
        <v>32</v>
      </c>
      <c r="O11" s="16" t="s">
        <v>32</v>
      </c>
      <c r="P11" s="16" t="s">
        <v>32</v>
      </c>
      <c r="Q11" s="16" t="s">
        <v>32</v>
      </c>
      <c r="R11" s="16" t="s">
        <v>32</v>
      </c>
    </row>
    <row r="12" spans="1:18" ht="20.100000000000001" customHeight="1" x14ac:dyDescent="0.25">
      <c r="A12" s="14"/>
      <c r="B12" s="16" t="s">
        <v>988</v>
      </c>
      <c r="C12" s="16"/>
      <c r="D12" s="16" t="s">
        <v>981</v>
      </c>
      <c r="E12" s="16" t="s">
        <v>989</v>
      </c>
      <c r="F12" s="16" t="s">
        <v>990</v>
      </c>
      <c r="G12" s="14">
        <v>1</v>
      </c>
      <c r="H12" s="16" t="s">
        <v>32</v>
      </c>
      <c r="I12" s="16">
        <f t="shared" si="0"/>
        <v>144</v>
      </c>
      <c r="J12" s="16">
        <f t="shared" si="1"/>
        <v>144</v>
      </c>
      <c r="K12" s="38" t="s">
        <v>32</v>
      </c>
      <c r="L12" s="38" t="s">
        <v>32</v>
      </c>
      <c r="M12" s="3" t="s">
        <v>1289</v>
      </c>
      <c r="N12" s="16" t="s">
        <v>32</v>
      </c>
      <c r="O12" s="16" t="s">
        <v>32</v>
      </c>
      <c r="P12" s="16" t="s">
        <v>32</v>
      </c>
      <c r="Q12" s="16" t="s">
        <v>32</v>
      </c>
      <c r="R12" s="16" t="s">
        <v>32</v>
      </c>
    </row>
    <row r="13" spans="1:18" ht="20.100000000000001" customHeight="1" x14ac:dyDescent="0.25">
      <c r="A13" s="15">
        <v>4</v>
      </c>
      <c r="B13" s="17" t="s">
        <v>991</v>
      </c>
      <c r="C13" s="17"/>
      <c r="D13" s="17" t="s">
        <v>992</v>
      </c>
      <c r="E13" s="17" t="s">
        <v>364</v>
      </c>
      <c r="F13" s="17" t="s">
        <v>993</v>
      </c>
      <c r="G13" s="15">
        <v>1</v>
      </c>
      <c r="H13" s="17" t="s">
        <v>994</v>
      </c>
      <c r="I13" s="17">
        <f t="shared" si="0"/>
        <v>159</v>
      </c>
      <c r="J13" s="17">
        <f t="shared" si="1"/>
        <v>159</v>
      </c>
      <c r="K13" s="30" t="s">
        <v>1289</v>
      </c>
      <c r="L13" s="39" t="s">
        <v>32</v>
      </c>
      <c r="M13" s="39" t="s">
        <v>32</v>
      </c>
      <c r="N13" s="17" t="s">
        <v>32</v>
      </c>
      <c r="O13" s="17" t="s">
        <v>32</v>
      </c>
      <c r="P13" s="17" t="s">
        <v>32</v>
      </c>
      <c r="Q13" s="17" t="s">
        <v>32</v>
      </c>
      <c r="R13" s="17" t="s">
        <v>32</v>
      </c>
    </row>
    <row r="14" spans="1:18" ht="20.100000000000001" customHeight="1" x14ac:dyDescent="0.25">
      <c r="A14" s="15"/>
      <c r="B14" s="17" t="s">
        <v>995</v>
      </c>
      <c r="C14" s="17"/>
      <c r="D14" s="17" t="s">
        <v>992</v>
      </c>
      <c r="E14" s="17" t="s">
        <v>379</v>
      </c>
      <c r="F14" s="17" t="s">
        <v>996</v>
      </c>
      <c r="G14" s="15">
        <v>1</v>
      </c>
      <c r="H14" s="17" t="s">
        <v>32</v>
      </c>
      <c r="I14" s="17">
        <f t="shared" si="0"/>
        <v>149</v>
      </c>
      <c r="J14" s="17">
        <f t="shared" si="1"/>
        <v>149</v>
      </c>
      <c r="K14" s="39" t="s">
        <v>32</v>
      </c>
      <c r="L14" s="30" t="s">
        <v>1289</v>
      </c>
      <c r="M14" s="39" t="s">
        <v>32</v>
      </c>
      <c r="N14" s="17" t="s">
        <v>32</v>
      </c>
      <c r="O14" s="17" t="s">
        <v>32</v>
      </c>
      <c r="P14" s="17" t="s">
        <v>32</v>
      </c>
      <c r="Q14" s="17" t="s">
        <v>32</v>
      </c>
      <c r="R14" s="17" t="s">
        <v>32</v>
      </c>
    </row>
    <row r="15" spans="1:18" ht="20.100000000000001" customHeight="1" x14ac:dyDescent="0.25">
      <c r="A15" s="15"/>
      <c r="B15" s="17" t="s">
        <v>997</v>
      </c>
      <c r="C15" s="17"/>
      <c r="D15" s="17" t="s">
        <v>992</v>
      </c>
      <c r="E15" s="17" t="s">
        <v>372</v>
      </c>
      <c r="F15" s="17" t="s">
        <v>998</v>
      </c>
      <c r="G15" s="15">
        <v>1</v>
      </c>
      <c r="H15" s="17" t="s">
        <v>32</v>
      </c>
      <c r="I15" s="17">
        <f t="shared" si="0"/>
        <v>144</v>
      </c>
      <c r="J15" s="17">
        <f t="shared" si="1"/>
        <v>144</v>
      </c>
      <c r="K15" s="39" t="s">
        <v>32</v>
      </c>
      <c r="L15" s="39" t="s">
        <v>32</v>
      </c>
      <c r="M15" s="30" t="s">
        <v>1289</v>
      </c>
      <c r="N15" s="17" t="s">
        <v>32</v>
      </c>
      <c r="O15" s="17" t="s">
        <v>32</v>
      </c>
      <c r="P15" s="17" t="s">
        <v>32</v>
      </c>
      <c r="Q15" s="17" t="s">
        <v>32</v>
      </c>
      <c r="R15" s="17" t="s">
        <v>32</v>
      </c>
    </row>
    <row r="16" spans="1:18" ht="20.100000000000001" customHeight="1" x14ac:dyDescent="0.25">
      <c r="A16" s="14">
        <v>5</v>
      </c>
      <c r="B16" s="16" t="s">
        <v>999</v>
      </c>
      <c r="C16" s="16"/>
      <c r="D16" s="16" t="s">
        <v>1000</v>
      </c>
      <c r="E16" s="16" t="s">
        <v>372</v>
      </c>
      <c r="F16" s="16" t="s">
        <v>1001</v>
      </c>
      <c r="G16" s="14">
        <v>1</v>
      </c>
      <c r="H16" s="16" t="s">
        <v>1002</v>
      </c>
      <c r="I16" s="16">
        <f t="shared" si="0"/>
        <v>159</v>
      </c>
      <c r="J16" s="16">
        <f t="shared" si="1"/>
        <v>159</v>
      </c>
      <c r="K16" s="3" t="s">
        <v>1289</v>
      </c>
      <c r="L16" s="38" t="s">
        <v>32</v>
      </c>
      <c r="M16" s="38" t="s">
        <v>32</v>
      </c>
      <c r="N16" s="16" t="s">
        <v>32</v>
      </c>
      <c r="O16" s="16" t="s">
        <v>32</v>
      </c>
      <c r="P16" s="16" t="s">
        <v>32</v>
      </c>
      <c r="Q16" s="16" t="s">
        <v>32</v>
      </c>
      <c r="R16" s="16" t="s">
        <v>32</v>
      </c>
    </row>
    <row r="17" spans="1:18" ht="20.100000000000001" customHeight="1" x14ac:dyDescent="0.25">
      <c r="A17" s="14"/>
      <c r="B17" s="16" t="s">
        <v>1003</v>
      </c>
      <c r="C17" s="16"/>
      <c r="D17" s="16" t="s">
        <v>1000</v>
      </c>
      <c r="E17" s="16" t="s">
        <v>368</v>
      </c>
      <c r="F17" s="16" t="s">
        <v>1004</v>
      </c>
      <c r="G17" s="14">
        <v>1</v>
      </c>
      <c r="H17" s="16" t="s">
        <v>32</v>
      </c>
      <c r="I17" s="16">
        <f t="shared" si="0"/>
        <v>149</v>
      </c>
      <c r="J17" s="16">
        <f t="shared" si="1"/>
        <v>149</v>
      </c>
      <c r="K17" s="38" t="s">
        <v>32</v>
      </c>
      <c r="L17" s="3" t="s">
        <v>1289</v>
      </c>
      <c r="M17" s="38" t="s">
        <v>32</v>
      </c>
      <c r="N17" s="16" t="s">
        <v>32</v>
      </c>
      <c r="O17" s="16" t="s">
        <v>32</v>
      </c>
      <c r="P17" s="16" t="s">
        <v>32</v>
      </c>
      <c r="Q17" s="16" t="s">
        <v>32</v>
      </c>
      <c r="R17" s="16" t="s">
        <v>32</v>
      </c>
    </row>
    <row r="18" spans="1:18" ht="20.100000000000001" customHeight="1" x14ac:dyDescent="0.25">
      <c r="A18" s="14"/>
      <c r="B18" s="16" t="s">
        <v>1005</v>
      </c>
      <c r="C18" s="16"/>
      <c r="D18" s="16" t="s">
        <v>1000</v>
      </c>
      <c r="E18" s="16" t="s">
        <v>364</v>
      </c>
      <c r="F18" s="16" t="s">
        <v>1006</v>
      </c>
      <c r="G18" s="14">
        <v>1</v>
      </c>
      <c r="H18" s="16" t="s">
        <v>32</v>
      </c>
      <c r="I18" s="16">
        <f t="shared" si="0"/>
        <v>144</v>
      </c>
      <c r="J18" s="16">
        <f t="shared" si="1"/>
        <v>144</v>
      </c>
      <c r="K18" s="38" t="s">
        <v>32</v>
      </c>
      <c r="L18" s="38" t="s">
        <v>32</v>
      </c>
      <c r="M18" s="3" t="s">
        <v>1289</v>
      </c>
      <c r="N18" s="16" t="s">
        <v>32</v>
      </c>
      <c r="O18" s="16" t="s">
        <v>32</v>
      </c>
      <c r="P18" s="16" t="s">
        <v>32</v>
      </c>
      <c r="Q18" s="16" t="s">
        <v>32</v>
      </c>
      <c r="R18" s="16" t="s">
        <v>32</v>
      </c>
    </row>
    <row r="19" spans="1:18" ht="20.100000000000001" customHeight="1" x14ac:dyDescent="0.25">
      <c r="A19" s="54">
        <v>6</v>
      </c>
      <c r="B19" s="55" t="s">
        <v>1007</v>
      </c>
      <c r="C19" s="55"/>
      <c r="D19" s="55" t="s">
        <v>1008</v>
      </c>
      <c r="E19" s="55" t="s">
        <v>1009</v>
      </c>
      <c r="F19" s="55" t="s">
        <v>1010</v>
      </c>
      <c r="G19" s="54">
        <v>1</v>
      </c>
      <c r="H19" s="55" t="s">
        <v>1011</v>
      </c>
      <c r="I19" s="55">
        <f t="shared" si="0"/>
        <v>159</v>
      </c>
      <c r="J19" s="55">
        <f t="shared" si="1"/>
        <v>159</v>
      </c>
      <c r="K19" s="45" t="s">
        <v>1289</v>
      </c>
      <c r="L19" s="56" t="s">
        <v>32</v>
      </c>
      <c r="M19" s="56" t="s">
        <v>32</v>
      </c>
      <c r="N19" s="17" t="s">
        <v>32</v>
      </c>
      <c r="O19" s="17" t="s">
        <v>32</v>
      </c>
      <c r="P19" s="17" t="s">
        <v>32</v>
      </c>
      <c r="Q19" s="17" t="s">
        <v>32</v>
      </c>
      <c r="R19" s="17" t="s">
        <v>32</v>
      </c>
    </row>
    <row r="20" spans="1:18" ht="20.100000000000001" customHeight="1" x14ac:dyDescent="0.25">
      <c r="A20" s="54"/>
      <c r="B20" s="55" t="s">
        <v>1012</v>
      </c>
      <c r="C20" s="55"/>
      <c r="D20" s="55" t="s">
        <v>1013</v>
      </c>
      <c r="E20" s="55" t="s">
        <v>1014</v>
      </c>
      <c r="F20" s="55" t="s">
        <v>1015</v>
      </c>
      <c r="G20" s="54">
        <v>1</v>
      </c>
      <c r="H20" s="55" t="s">
        <v>32</v>
      </c>
      <c r="I20" s="55">
        <f t="shared" si="0"/>
        <v>149</v>
      </c>
      <c r="J20" s="55">
        <f t="shared" si="1"/>
        <v>149</v>
      </c>
      <c r="K20" s="56" t="s">
        <v>32</v>
      </c>
      <c r="L20" s="45" t="s">
        <v>1289</v>
      </c>
      <c r="M20" s="56" t="s">
        <v>32</v>
      </c>
      <c r="N20" s="17" t="s">
        <v>32</v>
      </c>
      <c r="O20" s="17" t="s">
        <v>32</v>
      </c>
      <c r="P20" s="17" t="s">
        <v>32</v>
      </c>
      <c r="Q20" s="17" t="s">
        <v>32</v>
      </c>
      <c r="R20" s="17" t="s">
        <v>32</v>
      </c>
    </row>
    <row r="21" spans="1:18" ht="20.100000000000001" customHeight="1" x14ac:dyDescent="0.25">
      <c r="A21" s="54"/>
      <c r="B21" s="55" t="s">
        <v>1016</v>
      </c>
      <c r="C21" s="55"/>
      <c r="D21" s="55" t="s">
        <v>1017</v>
      </c>
      <c r="E21" s="55" t="s">
        <v>1018</v>
      </c>
      <c r="F21" s="55" t="s">
        <v>1019</v>
      </c>
      <c r="G21" s="54">
        <v>1</v>
      </c>
      <c r="H21" s="55" t="s">
        <v>32</v>
      </c>
      <c r="I21" s="55">
        <f t="shared" si="0"/>
        <v>144</v>
      </c>
      <c r="J21" s="55">
        <f t="shared" si="1"/>
        <v>144</v>
      </c>
      <c r="K21" s="56" t="s">
        <v>32</v>
      </c>
      <c r="L21" s="56" t="s">
        <v>32</v>
      </c>
      <c r="M21" s="45" t="s">
        <v>1289</v>
      </c>
      <c r="N21" s="17" t="s">
        <v>32</v>
      </c>
      <c r="O21" s="17" t="s">
        <v>32</v>
      </c>
      <c r="P21" s="17" t="s">
        <v>32</v>
      </c>
      <c r="Q21" s="17" t="s">
        <v>32</v>
      </c>
      <c r="R21" s="17" t="s">
        <v>32</v>
      </c>
    </row>
    <row r="22" spans="1:18" ht="20.100000000000001" customHeight="1" x14ac:dyDescent="0.25">
      <c r="A22" s="57">
        <v>7</v>
      </c>
      <c r="B22" s="58" t="s">
        <v>1020</v>
      </c>
      <c r="C22" s="58"/>
      <c r="D22" s="58" t="s">
        <v>1021</v>
      </c>
      <c r="E22" s="58" t="s">
        <v>1018</v>
      </c>
      <c r="F22" s="58" t="s">
        <v>1022</v>
      </c>
      <c r="G22" s="57">
        <v>1</v>
      </c>
      <c r="H22" s="58" t="s">
        <v>1023</v>
      </c>
      <c r="I22" s="58">
        <f t="shared" si="0"/>
        <v>159</v>
      </c>
      <c r="J22" s="58">
        <f t="shared" si="1"/>
        <v>159</v>
      </c>
      <c r="K22" s="45" t="s">
        <v>1289</v>
      </c>
      <c r="L22" s="59" t="s">
        <v>32</v>
      </c>
      <c r="M22" s="59" t="s">
        <v>32</v>
      </c>
      <c r="N22" s="16" t="s">
        <v>32</v>
      </c>
      <c r="O22" s="16" t="s">
        <v>32</v>
      </c>
      <c r="P22" s="16" t="s">
        <v>32</v>
      </c>
      <c r="Q22" s="16" t="s">
        <v>32</v>
      </c>
      <c r="R22" s="16" t="s">
        <v>32</v>
      </c>
    </row>
    <row r="23" spans="1:18" ht="20.100000000000001" customHeight="1" x14ac:dyDescent="0.25">
      <c r="A23" s="57"/>
      <c r="B23" s="58" t="s">
        <v>1024</v>
      </c>
      <c r="C23" s="58"/>
      <c r="D23" s="58" t="s">
        <v>1025</v>
      </c>
      <c r="E23" s="58" t="s">
        <v>1009</v>
      </c>
      <c r="F23" s="58" t="s">
        <v>1026</v>
      </c>
      <c r="G23" s="57">
        <v>1</v>
      </c>
      <c r="H23" s="58" t="s">
        <v>32</v>
      </c>
      <c r="I23" s="58">
        <f t="shared" si="0"/>
        <v>144</v>
      </c>
      <c r="J23" s="58">
        <f t="shared" si="1"/>
        <v>144</v>
      </c>
      <c r="K23" s="59" t="s">
        <v>32</v>
      </c>
      <c r="L23" s="45"/>
      <c r="M23" s="45" t="s">
        <v>1289</v>
      </c>
      <c r="N23" s="16" t="s">
        <v>32</v>
      </c>
      <c r="O23" s="16" t="s">
        <v>32</v>
      </c>
      <c r="P23" s="16" t="s">
        <v>32</v>
      </c>
      <c r="Q23" s="16" t="s">
        <v>32</v>
      </c>
      <c r="R23" s="16" t="s">
        <v>32</v>
      </c>
    </row>
    <row r="24" spans="1:18" ht="20.100000000000001" customHeight="1" x14ac:dyDescent="0.25">
      <c r="A24" s="57"/>
      <c r="B24" s="58" t="s">
        <v>1027</v>
      </c>
      <c r="C24" s="58"/>
      <c r="D24" s="58" t="s">
        <v>1028</v>
      </c>
      <c r="E24" s="58" t="s">
        <v>1014</v>
      </c>
      <c r="F24" s="58" t="s">
        <v>1029</v>
      </c>
      <c r="G24" s="57">
        <v>1</v>
      </c>
      <c r="H24" s="58" t="s">
        <v>32</v>
      </c>
      <c r="I24" s="58">
        <f t="shared" si="0"/>
        <v>149</v>
      </c>
      <c r="J24" s="58">
        <f t="shared" si="1"/>
        <v>149</v>
      </c>
      <c r="K24" s="59" t="s">
        <v>32</v>
      </c>
      <c r="L24" s="45" t="s">
        <v>1289</v>
      </c>
      <c r="M24" s="45"/>
      <c r="N24" s="16" t="s">
        <v>32</v>
      </c>
      <c r="O24" s="16" t="s">
        <v>32</v>
      </c>
      <c r="P24" s="16" t="s">
        <v>32</v>
      </c>
      <c r="Q24" s="16" t="s">
        <v>32</v>
      </c>
      <c r="R24" s="16" t="s">
        <v>32</v>
      </c>
    </row>
    <row r="25" spans="1:18" ht="20.100000000000001" customHeight="1" x14ac:dyDescent="0.25">
      <c r="A25" s="15">
        <v>92</v>
      </c>
      <c r="B25" s="17" t="s">
        <v>1030</v>
      </c>
      <c r="C25" s="17"/>
      <c r="D25" s="17" t="s">
        <v>1031</v>
      </c>
      <c r="E25" s="17" t="s">
        <v>1032</v>
      </c>
      <c r="F25" s="17" t="s">
        <v>1033</v>
      </c>
      <c r="G25" s="15">
        <v>1</v>
      </c>
      <c r="H25" s="17" t="s">
        <v>1034</v>
      </c>
      <c r="I25" s="17">
        <f t="shared" si="0"/>
        <v>159</v>
      </c>
      <c r="J25" s="17">
        <f t="shared" si="1"/>
        <v>159</v>
      </c>
      <c r="K25" s="30" t="s">
        <v>1289</v>
      </c>
      <c r="L25" s="39" t="s">
        <v>32</v>
      </c>
      <c r="M25" s="39" t="s">
        <v>32</v>
      </c>
      <c r="N25" s="17" t="s">
        <v>32</v>
      </c>
      <c r="O25" s="17" t="s">
        <v>32</v>
      </c>
      <c r="P25" s="17" t="s">
        <v>32</v>
      </c>
      <c r="Q25" s="17" t="s">
        <v>32</v>
      </c>
      <c r="R25" s="17" t="s">
        <v>32</v>
      </c>
    </row>
    <row r="26" spans="1:18" ht="20.100000000000001" customHeight="1" x14ac:dyDescent="0.25">
      <c r="A26" s="15"/>
      <c r="B26" s="17" t="s">
        <v>1035</v>
      </c>
      <c r="C26" s="17"/>
      <c r="D26" s="17" t="s">
        <v>1031</v>
      </c>
      <c r="E26" s="17" t="s">
        <v>1036</v>
      </c>
      <c r="F26" s="17" t="s">
        <v>1037</v>
      </c>
      <c r="G26" s="15">
        <v>1</v>
      </c>
      <c r="H26" s="17" t="s">
        <v>32</v>
      </c>
      <c r="I26" s="17">
        <f t="shared" si="0"/>
        <v>149</v>
      </c>
      <c r="J26" s="17">
        <f t="shared" si="1"/>
        <v>149</v>
      </c>
      <c r="K26" s="39" t="s">
        <v>32</v>
      </c>
      <c r="L26" s="30" t="s">
        <v>1289</v>
      </c>
      <c r="M26" s="39" t="s">
        <v>32</v>
      </c>
      <c r="N26" s="17" t="s">
        <v>32</v>
      </c>
      <c r="O26" s="17" t="s">
        <v>32</v>
      </c>
      <c r="P26" s="17" t="s">
        <v>32</v>
      </c>
      <c r="Q26" s="17" t="s">
        <v>32</v>
      </c>
      <c r="R26" s="17" t="s">
        <v>32</v>
      </c>
    </row>
    <row r="27" spans="1:18" ht="20.100000000000001" customHeight="1" x14ac:dyDescent="0.25">
      <c r="A27" s="15"/>
      <c r="B27" s="17" t="s">
        <v>1038</v>
      </c>
      <c r="C27" s="17"/>
      <c r="D27" s="17" t="s">
        <v>1031</v>
      </c>
      <c r="E27" s="17" t="s">
        <v>1039</v>
      </c>
      <c r="F27" s="17" t="s">
        <v>1040</v>
      </c>
      <c r="G27" s="15">
        <v>1</v>
      </c>
      <c r="H27" s="17" t="s">
        <v>32</v>
      </c>
      <c r="I27" s="17">
        <f t="shared" si="0"/>
        <v>144</v>
      </c>
      <c r="J27" s="17">
        <f t="shared" si="1"/>
        <v>144</v>
      </c>
      <c r="K27" s="39" t="s">
        <v>32</v>
      </c>
      <c r="L27" s="39" t="s">
        <v>32</v>
      </c>
      <c r="M27" s="30" t="s">
        <v>1289</v>
      </c>
      <c r="N27" s="17" t="s">
        <v>32</v>
      </c>
      <c r="O27" s="17" t="s">
        <v>32</v>
      </c>
      <c r="P27" s="17" t="s">
        <v>32</v>
      </c>
      <c r="Q27" s="17" t="s">
        <v>32</v>
      </c>
      <c r="R27" s="17" t="s">
        <v>32</v>
      </c>
    </row>
    <row r="28" spans="1:18" ht="20.100000000000001" customHeight="1" x14ac:dyDescent="0.25">
      <c r="A28" s="14">
        <v>99</v>
      </c>
      <c r="B28" s="16" t="s">
        <v>1041</v>
      </c>
      <c r="C28" s="16"/>
      <c r="D28" s="16" t="s">
        <v>1042</v>
      </c>
      <c r="E28" s="16" t="s">
        <v>359</v>
      </c>
      <c r="F28" s="16" t="s">
        <v>1043</v>
      </c>
      <c r="G28" s="14">
        <v>1</v>
      </c>
      <c r="H28" s="16" t="s">
        <v>1044</v>
      </c>
      <c r="I28" s="16">
        <f t="shared" si="0"/>
        <v>452</v>
      </c>
      <c r="J28" s="16">
        <f t="shared" si="1"/>
        <v>452</v>
      </c>
      <c r="K28" s="3" t="s">
        <v>1289</v>
      </c>
      <c r="L28" s="3" t="s">
        <v>1289</v>
      </c>
      <c r="M28" s="3" t="s">
        <v>1289</v>
      </c>
      <c r="N28" s="16" t="s">
        <v>32</v>
      </c>
      <c r="O28" s="16" t="s">
        <v>32</v>
      </c>
      <c r="P28" s="16" t="s">
        <v>32</v>
      </c>
      <c r="Q28" s="16" t="s">
        <v>32</v>
      </c>
      <c r="R28" s="16" t="s">
        <v>32</v>
      </c>
    </row>
    <row r="29" spans="1:18" ht="20.100000000000001" customHeight="1" x14ac:dyDescent="0.25">
      <c r="A29" s="15">
        <v>116</v>
      </c>
      <c r="B29" s="17" t="s">
        <v>1045</v>
      </c>
      <c r="C29" s="17"/>
      <c r="D29" s="17" t="s">
        <v>1046</v>
      </c>
      <c r="E29" s="17" t="s">
        <v>1047</v>
      </c>
      <c r="F29" s="17" t="s">
        <v>1048</v>
      </c>
      <c r="G29" s="15">
        <v>17</v>
      </c>
      <c r="H29" s="26" t="s">
        <v>1304</v>
      </c>
      <c r="I29" s="17">
        <f t="shared" si="0"/>
        <v>2703</v>
      </c>
      <c r="J29" s="17">
        <f t="shared" si="1"/>
        <v>159</v>
      </c>
      <c r="K29" s="30" t="s">
        <v>1289</v>
      </c>
      <c r="L29" s="39" t="s">
        <v>32</v>
      </c>
      <c r="M29" s="39" t="s">
        <v>32</v>
      </c>
      <c r="N29" s="17" t="s">
        <v>32</v>
      </c>
      <c r="O29" s="17" t="s">
        <v>32</v>
      </c>
      <c r="P29" s="17" t="s">
        <v>32</v>
      </c>
      <c r="Q29" s="17" t="s">
        <v>32</v>
      </c>
      <c r="R29" s="17" t="s">
        <v>32</v>
      </c>
    </row>
    <row r="30" spans="1:18" ht="20.100000000000001" customHeight="1" x14ac:dyDescent="0.25">
      <c r="A30" s="15"/>
      <c r="B30" s="17" t="s">
        <v>1049</v>
      </c>
      <c r="C30" s="17"/>
      <c r="D30" s="17" t="s">
        <v>1050</v>
      </c>
      <c r="E30" s="17" t="s">
        <v>474</v>
      </c>
      <c r="F30" s="17" t="s">
        <v>1051</v>
      </c>
      <c r="G30" s="15">
        <v>17</v>
      </c>
      <c r="H30" s="17" t="s">
        <v>32</v>
      </c>
      <c r="I30" s="17">
        <f t="shared" si="0"/>
        <v>2448</v>
      </c>
      <c r="J30" s="17">
        <f t="shared" si="1"/>
        <v>144</v>
      </c>
      <c r="K30" s="39" t="s">
        <v>32</v>
      </c>
      <c r="L30" s="39" t="s">
        <v>32</v>
      </c>
      <c r="M30" s="30" t="s">
        <v>1289</v>
      </c>
      <c r="N30" s="17" t="s">
        <v>32</v>
      </c>
      <c r="O30" s="17" t="s">
        <v>32</v>
      </c>
      <c r="P30" s="17" t="s">
        <v>32</v>
      </c>
      <c r="Q30" s="17" t="s">
        <v>32</v>
      </c>
      <c r="R30" s="17" t="s">
        <v>32</v>
      </c>
    </row>
    <row r="31" spans="1:18" ht="20.100000000000001" customHeight="1" x14ac:dyDescent="0.25">
      <c r="A31" s="15"/>
      <c r="B31" s="17" t="s">
        <v>1052</v>
      </c>
      <c r="C31" s="17"/>
      <c r="D31" s="17" t="s">
        <v>1050</v>
      </c>
      <c r="E31" s="17" t="s">
        <v>1053</v>
      </c>
      <c r="F31" s="17" t="s">
        <v>1054</v>
      </c>
      <c r="G31" s="15">
        <v>17</v>
      </c>
      <c r="H31" s="17" t="s">
        <v>32</v>
      </c>
      <c r="I31" s="17">
        <f t="shared" si="0"/>
        <v>2533</v>
      </c>
      <c r="J31" s="17">
        <f t="shared" si="1"/>
        <v>149</v>
      </c>
      <c r="K31" s="39" t="s">
        <v>32</v>
      </c>
      <c r="L31" s="30" t="s">
        <v>1289</v>
      </c>
      <c r="M31" s="39" t="s">
        <v>32</v>
      </c>
      <c r="N31" s="17" t="s">
        <v>32</v>
      </c>
      <c r="O31" s="17" t="s">
        <v>32</v>
      </c>
      <c r="P31" s="17" t="s">
        <v>32</v>
      </c>
      <c r="Q31" s="17" t="s">
        <v>32</v>
      </c>
      <c r="R31" s="17" t="s">
        <v>32</v>
      </c>
    </row>
    <row r="32" spans="1:18" ht="20.100000000000001" customHeight="1" x14ac:dyDescent="0.25">
      <c r="A32" s="14">
        <v>199</v>
      </c>
      <c r="B32" s="16" t="s">
        <v>1055</v>
      </c>
      <c r="C32" s="16"/>
      <c r="D32" s="16" t="s">
        <v>1056</v>
      </c>
      <c r="E32" s="16" t="s">
        <v>1057</v>
      </c>
      <c r="F32" s="16" t="s">
        <v>1058</v>
      </c>
      <c r="G32" s="14">
        <v>1</v>
      </c>
      <c r="H32" s="16" t="s">
        <v>1059</v>
      </c>
      <c r="I32" s="16">
        <f t="shared" si="0"/>
        <v>159</v>
      </c>
      <c r="J32" s="16">
        <f t="shared" si="1"/>
        <v>159</v>
      </c>
      <c r="K32" s="3" t="s">
        <v>1289</v>
      </c>
      <c r="L32" s="38" t="s">
        <v>32</v>
      </c>
      <c r="M32" s="38" t="s">
        <v>32</v>
      </c>
      <c r="N32" s="16" t="s">
        <v>32</v>
      </c>
      <c r="O32" s="16" t="s">
        <v>32</v>
      </c>
      <c r="P32" s="16" t="s">
        <v>32</v>
      </c>
      <c r="Q32" s="16" t="s">
        <v>32</v>
      </c>
      <c r="R32" s="16" t="s">
        <v>32</v>
      </c>
    </row>
    <row r="33" spans="1:18" ht="20.100000000000001" customHeight="1" x14ac:dyDescent="0.25">
      <c r="A33" s="14"/>
      <c r="B33" s="16" t="s">
        <v>1060</v>
      </c>
      <c r="C33" s="16"/>
      <c r="D33" s="16" t="s">
        <v>1056</v>
      </c>
      <c r="E33" s="16" t="s">
        <v>1061</v>
      </c>
      <c r="F33" s="16" t="s">
        <v>1062</v>
      </c>
      <c r="G33" s="14">
        <v>1</v>
      </c>
      <c r="H33" s="16" t="s">
        <v>32</v>
      </c>
      <c r="I33" s="16">
        <f t="shared" si="0"/>
        <v>149</v>
      </c>
      <c r="J33" s="16">
        <f t="shared" si="1"/>
        <v>149</v>
      </c>
      <c r="K33" s="38" t="s">
        <v>32</v>
      </c>
      <c r="L33" s="3" t="s">
        <v>1289</v>
      </c>
      <c r="M33" s="38" t="s">
        <v>32</v>
      </c>
      <c r="N33" s="16" t="s">
        <v>32</v>
      </c>
      <c r="O33" s="16" t="s">
        <v>32</v>
      </c>
      <c r="P33" s="16" t="s">
        <v>32</v>
      </c>
      <c r="Q33" s="16" t="s">
        <v>32</v>
      </c>
      <c r="R33" s="16" t="s">
        <v>32</v>
      </c>
    </row>
    <row r="34" spans="1:18" ht="20.100000000000001" customHeight="1" x14ac:dyDescent="0.25">
      <c r="A34" s="14"/>
      <c r="B34" s="16" t="s">
        <v>1063</v>
      </c>
      <c r="C34" s="16"/>
      <c r="D34" s="16" t="s">
        <v>1056</v>
      </c>
      <c r="E34" s="16" t="s">
        <v>1064</v>
      </c>
      <c r="F34" s="16" t="s">
        <v>1065</v>
      </c>
      <c r="G34" s="14">
        <v>1</v>
      </c>
      <c r="H34" s="16" t="s">
        <v>32</v>
      </c>
      <c r="I34" s="16">
        <f t="shared" si="0"/>
        <v>144</v>
      </c>
      <c r="J34" s="16">
        <f t="shared" si="1"/>
        <v>144</v>
      </c>
      <c r="K34" s="38" t="s">
        <v>32</v>
      </c>
      <c r="L34" s="38" t="s">
        <v>32</v>
      </c>
      <c r="M34" s="3" t="s">
        <v>1289</v>
      </c>
      <c r="N34" s="16" t="s">
        <v>32</v>
      </c>
      <c r="O34" s="16" t="s">
        <v>32</v>
      </c>
      <c r="P34" s="16" t="s">
        <v>32</v>
      </c>
      <c r="Q34" s="16" t="s">
        <v>32</v>
      </c>
      <c r="R34" s="16" t="s">
        <v>32</v>
      </c>
    </row>
    <row r="35" spans="1:18" ht="20.100000000000001" customHeight="1" x14ac:dyDescent="0.25">
      <c r="A35" s="15">
        <v>350</v>
      </c>
      <c r="B35" s="17" t="s">
        <v>1066</v>
      </c>
      <c r="C35" s="17"/>
      <c r="D35" s="17" t="s">
        <v>1067</v>
      </c>
      <c r="E35" s="17" t="s">
        <v>1068</v>
      </c>
      <c r="F35" s="17" t="s">
        <v>1069</v>
      </c>
      <c r="G35" s="15">
        <v>1</v>
      </c>
      <c r="H35" s="17" t="s">
        <v>1070</v>
      </c>
      <c r="I35" s="17">
        <f t="shared" si="0"/>
        <v>159</v>
      </c>
      <c r="J35" s="17">
        <f t="shared" si="1"/>
        <v>159</v>
      </c>
      <c r="K35" s="30" t="s">
        <v>1289</v>
      </c>
      <c r="L35" s="39" t="s">
        <v>32</v>
      </c>
      <c r="M35" s="39" t="s">
        <v>32</v>
      </c>
      <c r="N35" s="17" t="s">
        <v>32</v>
      </c>
      <c r="O35" s="17" t="s">
        <v>32</v>
      </c>
      <c r="P35" s="17" t="s">
        <v>32</v>
      </c>
      <c r="Q35" s="17" t="s">
        <v>32</v>
      </c>
      <c r="R35" s="17" t="s">
        <v>32</v>
      </c>
    </row>
    <row r="36" spans="1:18" ht="20.100000000000001" customHeight="1" x14ac:dyDescent="0.25">
      <c r="A36" s="15"/>
      <c r="B36" s="17" t="s">
        <v>1071</v>
      </c>
      <c r="C36" s="17"/>
      <c r="D36" s="17" t="s">
        <v>1067</v>
      </c>
      <c r="E36" s="17" t="s">
        <v>1072</v>
      </c>
      <c r="F36" s="17" t="s">
        <v>1073</v>
      </c>
      <c r="G36" s="15">
        <v>1</v>
      </c>
      <c r="H36" s="17" t="s">
        <v>32</v>
      </c>
      <c r="I36" s="17">
        <f t="shared" si="0"/>
        <v>149</v>
      </c>
      <c r="J36" s="17">
        <f t="shared" si="1"/>
        <v>149</v>
      </c>
      <c r="K36" s="39" t="s">
        <v>32</v>
      </c>
      <c r="L36" s="30" t="s">
        <v>1289</v>
      </c>
      <c r="M36" s="39" t="s">
        <v>32</v>
      </c>
      <c r="N36" s="17" t="s">
        <v>32</v>
      </c>
      <c r="O36" s="17" t="s">
        <v>32</v>
      </c>
      <c r="P36" s="17" t="s">
        <v>32</v>
      </c>
      <c r="Q36" s="17" t="s">
        <v>32</v>
      </c>
      <c r="R36" s="17" t="s">
        <v>32</v>
      </c>
    </row>
    <row r="37" spans="1:18" ht="20.100000000000001" customHeight="1" x14ac:dyDescent="0.25">
      <c r="A37" s="15"/>
      <c r="B37" s="17" t="s">
        <v>1074</v>
      </c>
      <c r="C37" s="17"/>
      <c r="D37" s="17" t="s">
        <v>1067</v>
      </c>
      <c r="E37" s="17" t="s">
        <v>359</v>
      </c>
      <c r="F37" s="17" t="s">
        <v>1075</v>
      </c>
      <c r="G37" s="15">
        <v>1</v>
      </c>
      <c r="H37" s="17" t="s">
        <v>32</v>
      </c>
      <c r="I37" s="17">
        <f t="shared" si="0"/>
        <v>144</v>
      </c>
      <c r="J37" s="17">
        <f t="shared" si="1"/>
        <v>144</v>
      </c>
      <c r="K37" s="39" t="s">
        <v>32</v>
      </c>
      <c r="L37" s="39" t="s">
        <v>32</v>
      </c>
      <c r="M37" s="30" t="s">
        <v>1289</v>
      </c>
      <c r="N37" s="17" t="s">
        <v>32</v>
      </c>
      <c r="O37" s="17" t="s">
        <v>32</v>
      </c>
      <c r="P37" s="17" t="s">
        <v>32</v>
      </c>
      <c r="Q37" s="17" t="s">
        <v>32</v>
      </c>
      <c r="R37" s="17" t="s">
        <v>32</v>
      </c>
    </row>
    <row r="38" spans="1:18" ht="20.100000000000001" customHeight="1" x14ac:dyDescent="0.25">
      <c r="A38" s="14">
        <v>351</v>
      </c>
      <c r="B38" s="16" t="s">
        <v>1076</v>
      </c>
      <c r="C38" s="16"/>
      <c r="D38" s="16" t="s">
        <v>1077</v>
      </c>
      <c r="E38" s="16" t="s">
        <v>359</v>
      </c>
      <c r="F38" s="16" t="s">
        <v>1078</v>
      </c>
      <c r="G38" s="14">
        <v>1</v>
      </c>
      <c r="H38" s="16" t="s">
        <v>1079</v>
      </c>
      <c r="I38" s="16">
        <f t="shared" ref="I38:I69" si="2">G38*J38</f>
        <v>159</v>
      </c>
      <c r="J38" s="16">
        <f t="shared" ref="J38:J69" si="3">IF(EXACT(K38,"V"),$K$5,0)+IF(EXACT(L38,"V"),$L$5,0)+IF(EXACT(M38,"V"),$M$5,0)+IF(EXACT(N38,"V"),$N$5,0)+IF(EXACT(O38,"V"),$O$5,0)+IF(EXACT(P38,"V"),$P$5,0)+IF(EXACT(Q38,"V"),$Q$5,0)</f>
        <v>159</v>
      </c>
      <c r="K38" s="3" t="s">
        <v>1289</v>
      </c>
      <c r="L38" s="38" t="s">
        <v>32</v>
      </c>
      <c r="M38" s="38" t="s">
        <v>32</v>
      </c>
      <c r="N38" s="16" t="s">
        <v>32</v>
      </c>
      <c r="O38" s="16" t="s">
        <v>32</v>
      </c>
      <c r="P38" s="16" t="s">
        <v>32</v>
      </c>
      <c r="Q38" s="16" t="s">
        <v>32</v>
      </c>
      <c r="R38" s="16" t="s">
        <v>32</v>
      </c>
    </row>
    <row r="39" spans="1:18" ht="20.100000000000001" customHeight="1" x14ac:dyDescent="0.25">
      <c r="A39" s="14"/>
      <c r="B39" s="16" t="s">
        <v>1080</v>
      </c>
      <c r="C39" s="16"/>
      <c r="D39" s="16" t="s">
        <v>1081</v>
      </c>
      <c r="E39" s="16" t="s">
        <v>379</v>
      </c>
      <c r="F39" s="16" t="s">
        <v>1082</v>
      </c>
      <c r="G39" s="14">
        <v>1</v>
      </c>
      <c r="H39" s="16" t="s">
        <v>32</v>
      </c>
      <c r="I39" s="16">
        <f t="shared" si="2"/>
        <v>149</v>
      </c>
      <c r="J39" s="16">
        <f t="shared" si="3"/>
        <v>149</v>
      </c>
      <c r="K39" s="38" t="s">
        <v>32</v>
      </c>
      <c r="L39" s="3" t="s">
        <v>1289</v>
      </c>
      <c r="M39" s="38" t="s">
        <v>32</v>
      </c>
      <c r="N39" s="16" t="s">
        <v>32</v>
      </c>
      <c r="O39" s="16" t="s">
        <v>32</v>
      </c>
      <c r="P39" s="16" t="s">
        <v>32</v>
      </c>
      <c r="Q39" s="16" t="s">
        <v>32</v>
      </c>
      <c r="R39" s="16" t="s">
        <v>32</v>
      </c>
    </row>
    <row r="40" spans="1:18" ht="20.100000000000001" customHeight="1" x14ac:dyDescent="0.25">
      <c r="A40" s="14"/>
      <c r="B40" s="16" t="s">
        <v>1083</v>
      </c>
      <c r="C40" s="16"/>
      <c r="D40" s="16" t="s">
        <v>1081</v>
      </c>
      <c r="E40" s="16" t="s">
        <v>387</v>
      </c>
      <c r="F40" s="16" t="s">
        <v>1084</v>
      </c>
      <c r="G40" s="14">
        <v>1</v>
      </c>
      <c r="H40" s="16" t="s">
        <v>32</v>
      </c>
      <c r="I40" s="16">
        <f t="shared" si="2"/>
        <v>144</v>
      </c>
      <c r="J40" s="16">
        <f t="shared" si="3"/>
        <v>144</v>
      </c>
      <c r="K40" s="38" t="s">
        <v>32</v>
      </c>
      <c r="L40" s="38" t="s">
        <v>32</v>
      </c>
      <c r="M40" s="3" t="s">
        <v>1289</v>
      </c>
      <c r="N40" s="16" t="s">
        <v>32</v>
      </c>
      <c r="O40" s="16" t="s">
        <v>32</v>
      </c>
      <c r="P40" s="16" t="s">
        <v>32</v>
      </c>
      <c r="Q40" s="16" t="s">
        <v>32</v>
      </c>
      <c r="R40" s="16" t="s">
        <v>32</v>
      </c>
    </row>
    <row r="41" spans="1:18" ht="20.100000000000001" customHeight="1" x14ac:dyDescent="0.25">
      <c r="A41" s="15">
        <v>361</v>
      </c>
      <c r="B41" s="17" t="s">
        <v>1085</v>
      </c>
      <c r="C41" s="17"/>
      <c r="D41" s="17" t="s">
        <v>1086</v>
      </c>
      <c r="E41" s="17" t="s">
        <v>359</v>
      </c>
      <c r="F41" s="17" t="s">
        <v>1087</v>
      </c>
      <c r="G41" s="15">
        <v>1</v>
      </c>
      <c r="H41" s="17" t="s">
        <v>1088</v>
      </c>
      <c r="I41" s="17">
        <f t="shared" si="2"/>
        <v>452</v>
      </c>
      <c r="J41" s="17">
        <f t="shared" si="3"/>
        <v>452</v>
      </c>
      <c r="K41" s="30" t="s">
        <v>1289</v>
      </c>
      <c r="L41" s="30" t="s">
        <v>1289</v>
      </c>
      <c r="M41" s="30" t="s">
        <v>1289</v>
      </c>
      <c r="N41" s="17" t="s">
        <v>32</v>
      </c>
      <c r="O41" s="17" t="s">
        <v>32</v>
      </c>
      <c r="P41" s="17" t="s">
        <v>32</v>
      </c>
      <c r="Q41" s="17" t="s">
        <v>32</v>
      </c>
      <c r="R41" s="17" t="s">
        <v>32</v>
      </c>
    </row>
    <row r="42" spans="1:18" ht="20.100000000000001" customHeight="1" x14ac:dyDescent="0.25">
      <c r="A42" s="14">
        <v>362</v>
      </c>
      <c r="B42" s="16" t="s">
        <v>1089</v>
      </c>
      <c r="C42" s="16"/>
      <c r="D42" s="16" t="s">
        <v>1090</v>
      </c>
      <c r="E42" s="16" t="s">
        <v>372</v>
      </c>
      <c r="F42" s="16" t="s">
        <v>1091</v>
      </c>
      <c r="G42" s="14">
        <v>1</v>
      </c>
      <c r="H42" s="16" t="s">
        <v>1092</v>
      </c>
      <c r="I42" s="16">
        <f t="shared" si="2"/>
        <v>159</v>
      </c>
      <c r="J42" s="16">
        <f t="shared" si="3"/>
        <v>159</v>
      </c>
      <c r="K42" s="3" t="s">
        <v>1289</v>
      </c>
      <c r="L42" s="38" t="s">
        <v>32</v>
      </c>
      <c r="M42" s="38" t="s">
        <v>32</v>
      </c>
      <c r="N42" s="16" t="s">
        <v>32</v>
      </c>
      <c r="O42" s="16" t="s">
        <v>32</v>
      </c>
      <c r="P42" s="16" t="s">
        <v>32</v>
      </c>
      <c r="Q42" s="16" t="s">
        <v>32</v>
      </c>
      <c r="R42" s="16" t="s">
        <v>32</v>
      </c>
    </row>
    <row r="43" spans="1:18" ht="20.100000000000001" customHeight="1" x14ac:dyDescent="0.25">
      <c r="A43" s="14"/>
      <c r="B43" s="16" t="s">
        <v>1093</v>
      </c>
      <c r="C43" s="16"/>
      <c r="D43" s="16" t="s">
        <v>1090</v>
      </c>
      <c r="E43" s="16" t="s">
        <v>387</v>
      </c>
      <c r="F43" s="16" t="s">
        <v>1094</v>
      </c>
      <c r="G43" s="14">
        <v>1</v>
      </c>
      <c r="H43" s="16" t="s">
        <v>32</v>
      </c>
      <c r="I43" s="16">
        <f t="shared" si="2"/>
        <v>149</v>
      </c>
      <c r="J43" s="16">
        <f t="shared" si="3"/>
        <v>149</v>
      </c>
      <c r="K43" s="38" t="s">
        <v>32</v>
      </c>
      <c r="L43" s="3" t="s">
        <v>1289</v>
      </c>
      <c r="M43" s="38" t="s">
        <v>32</v>
      </c>
      <c r="N43" s="16" t="s">
        <v>32</v>
      </c>
      <c r="O43" s="16" t="s">
        <v>32</v>
      </c>
      <c r="P43" s="16" t="s">
        <v>32</v>
      </c>
      <c r="Q43" s="16" t="s">
        <v>32</v>
      </c>
      <c r="R43" s="16" t="s">
        <v>32</v>
      </c>
    </row>
    <row r="44" spans="1:18" ht="20.100000000000001" customHeight="1" x14ac:dyDescent="0.25">
      <c r="A44" s="14"/>
      <c r="B44" s="16" t="s">
        <v>1095</v>
      </c>
      <c r="C44" s="16"/>
      <c r="D44" s="16" t="s">
        <v>1090</v>
      </c>
      <c r="E44" s="16" t="s">
        <v>379</v>
      </c>
      <c r="F44" s="16" t="s">
        <v>1096</v>
      </c>
      <c r="G44" s="14">
        <v>1</v>
      </c>
      <c r="H44" s="16" t="s">
        <v>32</v>
      </c>
      <c r="I44" s="16">
        <f t="shared" si="2"/>
        <v>144</v>
      </c>
      <c r="J44" s="16">
        <f t="shared" si="3"/>
        <v>144</v>
      </c>
      <c r="K44" s="38" t="s">
        <v>32</v>
      </c>
      <c r="L44" s="38" t="s">
        <v>32</v>
      </c>
      <c r="M44" s="3" t="s">
        <v>1289</v>
      </c>
      <c r="N44" s="16" t="s">
        <v>32</v>
      </c>
      <c r="O44" s="16" t="s">
        <v>32</v>
      </c>
      <c r="P44" s="16" t="s">
        <v>32</v>
      </c>
      <c r="Q44" s="16" t="s">
        <v>32</v>
      </c>
      <c r="R44" s="16" t="s">
        <v>32</v>
      </c>
    </row>
    <row r="45" spans="1:18" ht="20.100000000000001" customHeight="1" x14ac:dyDescent="0.25">
      <c r="A45" s="15">
        <v>445</v>
      </c>
      <c r="B45" s="17" t="s">
        <v>1097</v>
      </c>
      <c r="C45" s="17"/>
      <c r="D45" s="17" t="s">
        <v>1098</v>
      </c>
      <c r="E45" s="17" t="s">
        <v>1053</v>
      </c>
      <c r="F45" s="17" t="s">
        <v>1099</v>
      </c>
      <c r="G45" s="15">
        <v>8</v>
      </c>
      <c r="H45" s="17" t="s">
        <v>1100</v>
      </c>
      <c r="I45" s="17">
        <f t="shared" si="2"/>
        <v>1272</v>
      </c>
      <c r="J45" s="17">
        <f t="shared" si="3"/>
        <v>159</v>
      </c>
      <c r="K45" s="30" t="s">
        <v>1289</v>
      </c>
      <c r="L45" s="39" t="s">
        <v>32</v>
      </c>
      <c r="M45" s="39" t="s">
        <v>32</v>
      </c>
      <c r="N45" s="17" t="s">
        <v>32</v>
      </c>
      <c r="O45" s="17" t="s">
        <v>32</v>
      </c>
      <c r="P45" s="17" t="s">
        <v>32</v>
      </c>
      <c r="Q45" s="17" t="s">
        <v>32</v>
      </c>
      <c r="R45" s="17" t="s">
        <v>32</v>
      </c>
    </row>
    <row r="46" spans="1:18" ht="20.100000000000001" customHeight="1" x14ac:dyDescent="0.25">
      <c r="A46" s="15"/>
      <c r="B46" s="17" t="s">
        <v>1101</v>
      </c>
      <c r="C46" s="17"/>
      <c r="D46" s="17" t="s">
        <v>1102</v>
      </c>
      <c r="E46" s="17" t="s">
        <v>474</v>
      </c>
      <c r="F46" s="17" t="s">
        <v>1103</v>
      </c>
      <c r="G46" s="15">
        <v>8</v>
      </c>
      <c r="H46" s="17" t="s">
        <v>32</v>
      </c>
      <c r="I46" s="17">
        <f t="shared" si="2"/>
        <v>1152</v>
      </c>
      <c r="J46" s="17">
        <f t="shared" si="3"/>
        <v>144</v>
      </c>
      <c r="K46" s="39" t="s">
        <v>32</v>
      </c>
      <c r="L46" s="30"/>
      <c r="M46" s="30" t="s">
        <v>1289</v>
      </c>
      <c r="N46" s="17" t="s">
        <v>32</v>
      </c>
      <c r="O46" s="17" t="s">
        <v>32</v>
      </c>
      <c r="P46" s="17" t="s">
        <v>32</v>
      </c>
      <c r="Q46" s="17" t="s">
        <v>32</v>
      </c>
      <c r="R46" s="17" t="s">
        <v>32</v>
      </c>
    </row>
    <row r="47" spans="1:18" ht="20.100000000000001" customHeight="1" x14ac:dyDescent="0.25">
      <c r="A47" s="15"/>
      <c r="B47" s="17" t="s">
        <v>1104</v>
      </c>
      <c r="C47" s="17"/>
      <c r="D47" s="17" t="s">
        <v>1102</v>
      </c>
      <c r="E47" s="17" t="s">
        <v>1105</v>
      </c>
      <c r="F47" s="17" t="s">
        <v>1106</v>
      </c>
      <c r="G47" s="15">
        <v>8</v>
      </c>
      <c r="H47" s="17" t="s">
        <v>32</v>
      </c>
      <c r="I47" s="17">
        <f t="shared" si="2"/>
        <v>1192</v>
      </c>
      <c r="J47" s="17">
        <f t="shared" si="3"/>
        <v>149</v>
      </c>
      <c r="K47" s="39" t="s">
        <v>32</v>
      </c>
      <c r="L47" s="30" t="s">
        <v>1289</v>
      </c>
      <c r="M47" s="30"/>
      <c r="N47" s="17" t="s">
        <v>32</v>
      </c>
      <c r="O47" s="17" t="s">
        <v>32</v>
      </c>
      <c r="P47" s="17" t="s">
        <v>32</v>
      </c>
      <c r="Q47" s="17" t="s">
        <v>32</v>
      </c>
      <c r="R47" s="17" t="s">
        <v>32</v>
      </c>
    </row>
    <row r="48" spans="1:18" ht="20.100000000000001" customHeight="1" x14ac:dyDescent="0.25">
      <c r="A48" s="14">
        <v>455</v>
      </c>
      <c r="B48" s="16" t="s">
        <v>1107</v>
      </c>
      <c r="C48" s="16"/>
      <c r="D48" s="16" t="s">
        <v>1108</v>
      </c>
      <c r="E48" s="16" t="s">
        <v>1047</v>
      </c>
      <c r="F48" s="16" t="s">
        <v>1109</v>
      </c>
      <c r="G48" s="14">
        <v>1</v>
      </c>
      <c r="H48" s="16" t="s">
        <v>1110</v>
      </c>
      <c r="I48" s="16">
        <f t="shared" si="2"/>
        <v>159</v>
      </c>
      <c r="J48" s="16">
        <f>IF(EXACT(K48,"V"),$K$5,0)+IF(EXACT(L48,"V"),$L$5,0)+IF(EXACT(M48,"V"),$M$5,0)+IF(EXACT(N48,"V"),$N$5,0)+IF(EXACT(O48,"V"),$O$5,0)+IF(EXACT(P48,"V"),$P$5,0)+IF(EXACT(Q48,"V"),$Q$5,0)</f>
        <v>159</v>
      </c>
      <c r="K48" s="3" t="s">
        <v>1289</v>
      </c>
      <c r="L48" s="3"/>
      <c r="M48" s="3"/>
      <c r="N48" s="16" t="s">
        <v>32</v>
      </c>
      <c r="O48" s="16" t="s">
        <v>32</v>
      </c>
      <c r="P48" s="16" t="s">
        <v>32</v>
      </c>
      <c r="Q48" s="16" t="s">
        <v>32</v>
      </c>
      <c r="R48" s="16" t="s">
        <v>32</v>
      </c>
    </row>
    <row r="49" spans="1:18" ht="20.100000000000001" customHeight="1" x14ac:dyDescent="0.25">
      <c r="A49" s="14"/>
      <c r="B49" s="16" t="s">
        <v>1111</v>
      </c>
      <c r="C49" s="16"/>
      <c r="D49" s="16" t="s">
        <v>1112</v>
      </c>
      <c r="E49" s="16" t="s">
        <v>474</v>
      </c>
      <c r="F49" s="16" t="s">
        <v>1113</v>
      </c>
      <c r="G49" s="14">
        <v>1</v>
      </c>
      <c r="H49" s="16" t="s">
        <v>32</v>
      </c>
      <c r="I49" s="16">
        <f t="shared" si="2"/>
        <v>144</v>
      </c>
      <c r="J49" s="16">
        <f t="shared" si="3"/>
        <v>144</v>
      </c>
      <c r="K49" s="38" t="s">
        <v>32</v>
      </c>
      <c r="L49" s="38" t="s">
        <v>32</v>
      </c>
      <c r="M49" s="3" t="s">
        <v>1289</v>
      </c>
      <c r="N49" s="16" t="s">
        <v>32</v>
      </c>
      <c r="O49" s="16" t="s">
        <v>32</v>
      </c>
      <c r="P49" s="16" t="s">
        <v>32</v>
      </c>
      <c r="Q49" s="16" t="s">
        <v>32</v>
      </c>
      <c r="R49" s="16" t="s">
        <v>32</v>
      </c>
    </row>
    <row r="50" spans="1:18" ht="20.100000000000001" customHeight="1" x14ac:dyDescent="0.25">
      <c r="A50" s="14"/>
      <c r="B50" s="16" t="s">
        <v>1114</v>
      </c>
      <c r="C50" s="16"/>
      <c r="D50" s="16" t="s">
        <v>1112</v>
      </c>
      <c r="E50" s="16" t="s">
        <v>1053</v>
      </c>
      <c r="F50" s="16" t="s">
        <v>1115</v>
      </c>
      <c r="G50" s="14">
        <v>1</v>
      </c>
      <c r="H50" s="16" t="s">
        <v>32</v>
      </c>
      <c r="I50" s="16">
        <f t="shared" si="2"/>
        <v>149</v>
      </c>
      <c r="J50" s="16">
        <f t="shared" si="3"/>
        <v>149</v>
      </c>
      <c r="K50" s="38" t="s">
        <v>32</v>
      </c>
      <c r="L50" s="3" t="s">
        <v>1289</v>
      </c>
      <c r="M50" s="38" t="s">
        <v>32</v>
      </c>
      <c r="N50" s="16" t="s">
        <v>32</v>
      </c>
      <c r="O50" s="16" t="s">
        <v>32</v>
      </c>
      <c r="P50" s="16" t="s">
        <v>32</v>
      </c>
      <c r="Q50" s="16" t="s">
        <v>32</v>
      </c>
      <c r="R50" s="16" t="s">
        <v>32</v>
      </c>
    </row>
    <row r="51" spans="1:18" ht="20.100000000000001" customHeight="1" x14ac:dyDescent="0.25">
      <c r="A51" s="15">
        <v>631</v>
      </c>
      <c r="B51" s="17" t="s">
        <v>1116</v>
      </c>
      <c r="C51" s="17"/>
      <c r="D51" s="17" t="s">
        <v>1117</v>
      </c>
      <c r="E51" s="17" t="s">
        <v>359</v>
      </c>
      <c r="F51" s="17" t="s">
        <v>1118</v>
      </c>
      <c r="G51" s="15">
        <v>1</v>
      </c>
      <c r="H51" s="17" t="s">
        <v>1119</v>
      </c>
      <c r="I51" s="17">
        <f t="shared" si="2"/>
        <v>452</v>
      </c>
      <c r="J51" s="17">
        <f t="shared" si="3"/>
        <v>452</v>
      </c>
      <c r="K51" s="30" t="s">
        <v>1289</v>
      </c>
      <c r="L51" s="30" t="s">
        <v>1289</v>
      </c>
      <c r="M51" s="30" t="s">
        <v>1289</v>
      </c>
      <c r="N51" s="17" t="s">
        <v>32</v>
      </c>
      <c r="O51" s="17" t="s">
        <v>32</v>
      </c>
      <c r="P51" s="17" t="s">
        <v>32</v>
      </c>
      <c r="Q51" s="17" t="s">
        <v>32</v>
      </c>
      <c r="R51" s="17" t="s">
        <v>32</v>
      </c>
    </row>
    <row r="52" spans="1:18" ht="20.100000000000001" customHeight="1" x14ac:dyDescent="0.25">
      <c r="A52" s="14">
        <v>863</v>
      </c>
      <c r="B52" s="16" t="s">
        <v>1120</v>
      </c>
      <c r="C52" s="16"/>
      <c r="D52" s="16" t="s">
        <v>1121</v>
      </c>
      <c r="E52" s="16" t="s">
        <v>1122</v>
      </c>
      <c r="F52" s="16" t="s">
        <v>1123</v>
      </c>
      <c r="G52" s="14">
        <v>1</v>
      </c>
      <c r="H52" s="16" t="s">
        <v>1124</v>
      </c>
      <c r="I52" s="16">
        <f t="shared" si="2"/>
        <v>159</v>
      </c>
      <c r="J52" s="16">
        <f t="shared" si="3"/>
        <v>159</v>
      </c>
      <c r="K52" s="3" t="s">
        <v>1289</v>
      </c>
      <c r="L52" s="38" t="s">
        <v>32</v>
      </c>
      <c r="M52" s="38" t="s">
        <v>32</v>
      </c>
      <c r="N52" s="16" t="s">
        <v>32</v>
      </c>
      <c r="O52" s="16" t="s">
        <v>32</v>
      </c>
      <c r="P52" s="16" t="s">
        <v>32</v>
      </c>
      <c r="Q52" s="16" t="s">
        <v>32</v>
      </c>
      <c r="R52" s="16" t="s">
        <v>32</v>
      </c>
    </row>
    <row r="53" spans="1:18" ht="20.100000000000001" customHeight="1" x14ac:dyDescent="0.25">
      <c r="A53" s="14"/>
      <c r="B53" s="16" t="s">
        <v>1125</v>
      </c>
      <c r="C53" s="16"/>
      <c r="D53" s="16" t="s">
        <v>1126</v>
      </c>
      <c r="E53" s="16" t="s">
        <v>372</v>
      </c>
      <c r="F53" s="16" t="s">
        <v>1127</v>
      </c>
      <c r="G53" s="14">
        <v>1</v>
      </c>
      <c r="H53" s="16" t="s">
        <v>32</v>
      </c>
      <c r="I53" s="16">
        <f t="shared" si="2"/>
        <v>149</v>
      </c>
      <c r="J53" s="16">
        <f t="shared" si="3"/>
        <v>149</v>
      </c>
      <c r="K53" s="38" t="s">
        <v>32</v>
      </c>
      <c r="L53" s="3" t="s">
        <v>1289</v>
      </c>
      <c r="M53" s="38" t="s">
        <v>32</v>
      </c>
      <c r="N53" s="16" t="s">
        <v>32</v>
      </c>
      <c r="O53" s="16" t="s">
        <v>32</v>
      </c>
      <c r="P53" s="16" t="s">
        <v>32</v>
      </c>
      <c r="Q53" s="16" t="s">
        <v>32</v>
      </c>
      <c r="R53" s="16" t="s">
        <v>32</v>
      </c>
    </row>
    <row r="54" spans="1:18" ht="20.100000000000001" customHeight="1" x14ac:dyDescent="0.25">
      <c r="A54" s="14"/>
      <c r="B54" s="16" t="s">
        <v>1128</v>
      </c>
      <c r="C54" s="16"/>
      <c r="D54" s="16" t="s">
        <v>1121</v>
      </c>
      <c r="E54" s="16" t="s">
        <v>739</v>
      </c>
      <c r="F54" s="16" t="s">
        <v>1129</v>
      </c>
      <c r="G54" s="14">
        <v>1</v>
      </c>
      <c r="H54" s="16" t="s">
        <v>32</v>
      </c>
      <c r="I54" s="16">
        <f t="shared" si="2"/>
        <v>144</v>
      </c>
      <c r="J54" s="16">
        <f t="shared" si="3"/>
        <v>144</v>
      </c>
      <c r="K54" s="38" t="s">
        <v>32</v>
      </c>
      <c r="L54" s="38" t="s">
        <v>32</v>
      </c>
      <c r="M54" s="3" t="s">
        <v>1289</v>
      </c>
      <c r="N54" s="16" t="s">
        <v>32</v>
      </c>
      <c r="O54" s="16" t="s">
        <v>32</v>
      </c>
      <c r="P54" s="16" t="s">
        <v>32</v>
      </c>
      <c r="Q54" s="16" t="s">
        <v>32</v>
      </c>
      <c r="R54" s="16" t="s">
        <v>32</v>
      </c>
    </row>
    <row r="55" spans="1:18" ht="20.100000000000001" customHeight="1" x14ac:dyDescent="0.25">
      <c r="A55" s="15">
        <v>864</v>
      </c>
      <c r="B55" s="17" t="s">
        <v>1130</v>
      </c>
      <c r="C55" s="17"/>
      <c r="D55" s="17" t="s">
        <v>1131</v>
      </c>
      <c r="E55" s="17" t="s">
        <v>359</v>
      </c>
      <c r="F55" s="17" t="s">
        <v>1132</v>
      </c>
      <c r="G55" s="15">
        <v>1</v>
      </c>
      <c r="H55" s="17" t="s">
        <v>1133</v>
      </c>
      <c r="I55" s="17">
        <f t="shared" si="2"/>
        <v>159</v>
      </c>
      <c r="J55" s="17">
        <f t="shared" si="3"/>
        <v>159</v>
      </c>
      <c r="K55" s="30" t="s">
        <v>1289</v>
      </c>
      <c r="L55" s="39" t="s">
        <v>32</v>
      </c>
      <c r="M55" s="39" t="s">
        <v>32</v>
      </c>
      <c r="N55" s="17" t="s">
        <v>32</v>
      </c>
      <c r="O55" s="17" t="s">
        <v>32</v>
      </c>
      <c r="P55" s="17" t="s">
        <v>32</v>
      </c>
      <c r="Q55" s="17" t="s">
        <v>32</v>
      </c>
      <c r="R55" s="17" t="s">
        <v>32</v>
      </c>
    </row>
    <row r="56" spans="1:18" ht="20.100000000000001" customHeight="1" x14ac:dyDescent="0.25">
      <c r="A56" s="15"/>
      <c r="B56" s="17" t="s">
        <v>1134</v>
      </c>
      <c r="C56" s="17"/>
      <c r="D56" s="17" t="s">
        <v>1131</v>
      </c>
      <c r="E56" s="17" t="s">
        <v>1122</v>
      </c>
      <c r="F56" s="17" t="s">
        <v>1135</v>
      </c>
      <c r="G56" s="15">
        <v>1</v>
      </c>
      <c r="H56" s="17" t="s">
        <v>32</v>
      </c>
      <c r="I56" s="17">
        <f t="shared" si="2"/>
        <v>149</v>
      </c>
      <c r="J56" s="17">
        <f t="shared" si="3"/>
        <v>149</v>
      </c>
      <c r="K56" s="39" t="s">
        <v>32</v>
      </c>
      <c r="L56" s="30" t="s">
        <v>1289</v>
      </c>
      <c r="M56" s="39" t="s">
        <v>32</v>
      </c>
      <c r="N56" s="17" t="s">
        <v>32</v>
      </c>
      <c r="O56" s="17" t="s">
        <v>32</v>
      </c>
      <c r="P56" s="17" t="s">
        <v>32</v>
      </c>
      <c r="Q56" s="17" t="s">
        <v>32</v>
      </c>
      <c r="R56" s="17" t="s">
        <v>32</v>
      </c>
    </row>
    <row r="57" spans="1:18" ht="20.100000000000001" customHeight="1" x14ac:dyDescent="0.25">
      <c r="A57" s="15"/>
      <c r="B57" s="17" t="s">
        <v>1136</v>
      </c>
      <c r="C57" s="17"/>
      <c r="D57" s="17" t="s">
        <v>1131</v>
      </c>
      <c r="E57" s="17" t="s">
        <v>739</v>
      </c>
      <c r="F57" s="17" t="s">
        <v>1137</v>
      </c>
      <c r="G57" s="15">
        <v>1</v>
      </c>
      <c r="H57" s="17" t="s">
        <v>32</v>
      </c>
      <c r="I57" s="17">
        <f t="shared" si="2"/>
        <v>144</v>
      </c>
      <c r="J57" s="17">
        <f t="shared" si="3"/>
        <v>144</v>
      </c>
      <c r="K57" s="39" t="s">
        <v>32</v>
      </c>
      <c r="L57" s="39" t="s">
        <v>32</v>
      </c>
      <c r="M57" s="30" t="s">
        <v>1289</v>
      </c>
      <c r="N57" s="17" t="s">
        <v>32</v>
      </c>
      <c r="O57" s="17" t="s">
        <v>32</v>
      </c>
      <c r="P57" s="17" t="s">
        <v>32</v>
      </c>
      <c r="Q57" s="17" t="s">
        <v>32</v>
      </c>
      <c r="R57" s="17" t="s">
        <v>32</v>
      </c>
    </row>
    <row r="58" spans="1:18" ht="20.100000000000001" customHeight="1" x14ac:dyDescent="0.25">
      <c r="A58" s="14">
        <v>865</v>
      </c>
      <c r="B58" s="16" t="s">
        <v>1138</v>
      </c>
      <c r="C58" s="16"/>
      <c r="D58" s="16" t="s">
        <v>1139</v>
      </c>
      <c r="E58" s="16" t="s">
        <v>1122</v>
      </c>
      <c r="F58" s="16" t="s">
        <v>1140</v>
      </c>
      <c r="G58" s="14">
        <v>1</v>
      </c>
      <c r="H58" s="16" t="s">
        <v>1141</v>
      </c>
      <c r="I58" s="16">
        <f t="shared" si="2"/>
        <v>452</v>
      </c>
      <c r="J58" s="16">
        <f t="shared" si="3"/>
        <v>452</v>
      </c>
      <c r="K58" s="3" t="s">
        <v>1289</v>
      </c>
      <c r="L58" s="3" t="s">
        <v>1289</v>
      </c>
      <c r="M58" s="3" t="s">
        <v>1289</v>
      </c>
      <c r="N58" s="16" t="s">
        <v>32</v>
      </c>
      <c r="O58" s="16" t="s">
        <v>32</v>
      </c>
      <c r="P58" s="16" t="s">
        <v>32</v>
      </c>
      <c r="Q58" s="16" t="s">
        <v>32</v>
      </c>
      <c r="R58" s="16" t="s">
        <v>32</v>
      </c>
    </row>
    <row r="59" spans="1:18" ht="20.100000000000001" customHeight="1" x14ac:dyDescent="0.25">
      <c r="A59" s="15">
        <v>866</v>
      </c>
      <c r="B59" s="17" t="s">
        <v>1142</v>
      </c>
      <c r="C59" s="17"/>
      <c r="D59" s="17" t="s">
        <v>1143</v>
      </c>
      <c r="E59" s="17" t="s">
        <v>1122</v>
      </c>
      <c r="F59" s="17" t="s">
        <v>1144</v>
      </c>
      <c r="G59" s="15">
        <v>1</v>
      </c>
      <c r="H59" s="17" t="s">
        <v>1145</v>
      </c>
      <c r="I59" s="17">
        <f t="shared" si="2"/>
        <v>159</v>
      </c>
      <c r="J59" s="17">
        <f t="shared" si="3"/>
        <v>159</v>
      </c>
      <c r="K59" s="30" t="s">
        <v>1289</v>
      </c>
      <c r="L59" s="39" t="s">
        <v>32</v>
      </c>
      <c r="M59" s="39" t="s">
        <v>32</v>
      </c>
      <c r="N59" s="17" t="s">
        <v>32</v>
      </c>
      <c r="O59" s="17" t="s">
        <v>32</v>
      </c>
      <c r="P59" s="17" t="s">
        <v>32</v>
      </c>
      <c r="Q59" s="17" t="s">
        <v>32</v>
      </c>
      <c r="R59" s="17" t="s">
        <v>32</v>
      </c>
    </row>
    <row r="60" spans="1:18" ht="20.100000000000001" customHeight="1" x14ac:dyDescent="0.25">
      <c r="A60" s="15"/>
      <c r="B60" s="17" t="s">
        <v>1146</v>
      </c>
      <c r="C60" s="17"/>
      <c r="D60" s="17" t="s">
        <v>1143</v>
      </c>
      <c r="E60" s="17" t="s">
        <v>387</v>
      </c>
      <c r="F60" s="17" t="s">
        <v>1147</v>
      </c>
      <c r="G60" s="15">
        <v>1</v>
      </c>
      <c r="H60" s="17" t="s">
        <v>32</v>
      </c>
      <c r="I60" s="17">
        <f t="shared" si="2"/>
        <v>149</v>
      </c>
      <c r="J60" s="17">
        <f t="shared" si="3"/>
        <v>149</v>
      </c>
      <c r="K60" s="39" t="s">
        <v>32</v>
      </c>
      <c r="L60" s="30" t="s">
        <v>1289</v>
      </c>
      <c r="M60" s="39" t="s">
        <v>32</v>
      </c>
      <c r="N60" s="17" t="s">
        <v>32</v>
      </c>
      <c r="O60" s="17" t="s">
        <v>32</v>
      </c>
      <c r="P60" s="17" t="s">
        <v>32</v>
      </c>
      <c r="Q60" s="17" t="s">
        <v>32</v>
      </c>
      <c r="R60" s="17" t="s">
        <v>32</v>
      </c>
    </row>
    <row r="61" spans="1:18" ht="20.100000000000001" customHeight="1" x14ac:dyDescent="0.25">
      <c r="A61" s="15"/>
      <c r="B61" s="17" t="s">
        <v>1148</v>
      </c>
      <c r="C61" s="17"/>
      <c r="D61" s="17" t="s">
        <v>1149</v>
      </c>
      <c r="E61" s="17" t="s">
        <v>739</v>
      </c>
      <c r="F61" s="17" t="s">
        <v>1150</v>
      </c>
      <c r="G61" s="15">
        <v>1</v>
      </c>
      <c r="H61" s="17" t="s">
        <v>32</v>
      </c>
      <c r="I61" s="17">
        <f t="shared" si="2"/>
        <v>144</v>
      </c>
      <c r="J61" s="17">
        <f t="shared" si="3"/>
        <v>144</v>
      </c>
      <c r="K61" s="39" t="s">
        <v>32</v>
      </c>
      <c r="L61" s="39" t="s">
        <v>32</v>
      </c>
      <c r="M61" s="30" t="s">
        <v>1289</v>
      </c>
      <c r="N61" s="17" t="s">
        <v>32</v>
      </c>
      <c r="O61" s="17" t="s">
        <v>32</v>
      </c>
      <c r="P61" s="17" t="s">
        <v>32</v>
      </c>
      <c r="Q61" s="17" t="s">
        <v>32</v>
      </c>
      <c r="R61" s="17" t="s">
        <v>32</v>
      </c>
    </row>
    <row r="62" spans="1:18" ht="20.100000000000001" customHeight="1" x14ac:dyDescent="0.25">
      <c r="A62" s="14">
        <v>867</v>
      </c>
      <c r="B62" s="16" t="s">
        <v>1151</v>
      </c>
      <c r="C62" s="16"/>
      <c r="D62" s="16" t="s">
        <v>1152</v>
      </c>
      <c r="E62" s="16" t="s">
        <v>1122</v>
      </c>
      <c r="F62" s="16" t="s">
        <v>1153</v>
      </c>
      <c r="G62" s="14">
        <v>1</v>
      </c>
      <c r="H62" s="16" t="s">
        <v>1154</v>
      </c>
      <c r="I62" s="16">
        <f t="shared" si="2"/>
        <v>452</v>
      </c>
      <c r="J62" s="16">
        <f t="shared" si="3"/>
        <v>452</v>
      </c>
      <c r="K62" s="3" t="s">
        <v>1289</v>
      </c>
      <c r="L62" s="3" t="s">
        <v>1289</v>
      </c>
      <c r="M62" s="3" t="s">
        <v>1289</v>
      </c>
      <c r="N62" s="16" t="s">
        <v>32</v>
      </c>
      <c r="O62" s="16" t="s">
        <v>32</v>
      </c>
      <c r="P62" s="16" t="s">
        <v>32</v>
      </c>
      <c r="Q62" s="16" t="s">
        <v>32</v>
      </c>
      <c r="R62" s="16" t="s">
        <v>32</v>
      </c>
    </row>
    <row r="63" spans="1:18" ht="20.100000000000001" customHeight="1" x14ac:dyDescent="0.25">
      <c r="A63" s="15">
        <v>869</v>
      </c>
      <c r="B63" s="17" t="s">
        <v>1155</v>
      </c>
      <c r="C63" s="17"/>
      <c r="D63" s="17" t="s">
        <v>1156</v>
      </c>
      <c r="E63" s="17" t="s">
        <v>359</v>
      </c>
      <c r="F63" s="17" t="s">
        <v>1157</v>
      </c>
      <c r="G63" s="15">
        <v>1</v>
      </c>
      <c r="H63" s="17" t="s">
        <v>1158</v>
      </c>
      <c r="I63" s="17">
        <f t="shared" si="2"/>
        <v>303</v>
      </c>
      <c r="J63" s="17">
        <f t="shared" si="3"/>
        <v>303</v>
      </c>
      <c r="K63" s="30" t="s">
        <v>1289</v>
      </c>
      <c r="L63" s="39" t="s">
        <v>32</v>
      </c>
      <c r="M63" s="30" t="s">
        <v>1289</v>
      </c>
      <c r="N63" s="17" t="s">
        <v>32</v>
      </c>
      <c r="O63" s="17" t="s">
        <v>32</v>
      </c>
      <c r="P63" s="17" t="s">
        <v>32</v>
      </c>
      <c r="Q63" s="17" t="s">
        <v>32</v>
      </c>
      <c r="R63" s="17" t="s">
        <v>32</v>
      </c>
    </row>
    <row r="64" spans="1:18" ht="20.100000000000001" customHeight="1" x14ac:dyDescent="0.25">
      <c r="A64" s="15"/>
      <c r="B64" s="17" t="s">
        <v>1159</v>
      </c>
      <c r="C64" s="17"/>
      <c r="D64" s="17" t="s">
        <v>1160</v>
      </c>
      <c r="E64" s="17" t="s">
        <v>1122</v>
      </c>
      <c r="F64" s="17" t="s">
        <v>1161</v>
      </c>
      <c r="G64" s="15">
        <v>1</v>
      </c>
      <c r="H64" s="17" t="s">
        <v>32</v>
      </c>
      <c r="I64" s="17">
        <f t="shared" si="2"/>
        <v>149</v>
      </c>
      <c r="J64" s="17">
        <f t="shared" si="3"/>
        <v>149</v>
      </c>
      <c r="K64" s="39" t="s">
        <v>32</v>
      </c>
      <c r="L64" s="30" t="s">
        <v>1289</v>
      </c>
      <c r="M64" s="39" t="s">
        <v>32</v>
      </c>
      <c r="N64" s="17" t="s">
        <v>32</v>
      </c>
      <c r="O64" s="17" t="s">
        <v>32</v>
      </c>
      <c r="P64" s="17" t="s">
        <v>32</v>
      </c>
      <c r="Q64" s="17" t="s">
        <v>32</v>
      </c>
      <c r="R64" s="17" t="s">
        <v>32</v>
      </c>
    </row>
    <row r="65" spans="1:18" ht="20.100000000000001" customHeight="1" x14ac:dyDescent="0.25">
      <c r="A65" s="14">
        <v>870</v>
      </c>
      <c r="B65" s="16" t="s">
        <v>1162</v>
      </c>
      <c r="C65" s="16"/>
      <c r="D65" s="16" t="s">
        <v>1163</v>
      </c>
      <c r="E65" s="16" t="s">
        <v>1122</v>
      </c>
      <c r="F65" s="16" t="s">
        <v>1164</v>
      </c>
      <c r="G65" s="14">
        <v>1</v>
      </c>
      <c r="H65" s="16" t="s">
        <v>1165</v>
      </c>
      <c r="I65" s="16">
        <f t="shared" si="2"/>
        <v>452</v>
      </c>
      <c r="J65" s="16">
        <f t="shared" si="3"/>
        <v>452</v>
      </c>
      <c r="K65" s="3" t="s">
        <v>1289</v>
      </c>
      <c r="L65" s="3" t="s">
        <v>1289</v>
      </c>
      <c r="M65" s="3" t="s">
        <v>1289</v>
      </c>
      <c r="N65" s="16" t="s">
        <v>32</v>
      </c>
      <c r="O65" s="16" t="s">
        <v>32</v>
      </c>
      <c r="P65" s="16" t="s">
        <v>32</v>
      </c>
      <c r="Q65" s="16" t="s">
        <v>32</v>
      </c>
      <c r="R65" s="16" t="s">
        <v>32</v>
      </c>
    </row>
    <row r="66" spans="1:18" ht="20.100000000000001" customHeight="1" x14ac:dyDescent="0.25">
      <c r="A66" s="15">
        <v>876</v>
      </c>
      <c r="B66" s="17" t="s">
        <v>1166</v>
      </c>
      <c r="C66" s="17"/>
      <c r="D66" s="17" t="s">
        <v>1167</v>
      </c>
      <c r="E66" s="17" t="s">
        <v>739</v>
      </c>
      <c r="F66" s="17" t="s">
        <v>1168</v>
      </c>
      <c r="G66" s="15">
        <v>1</v>
      </c>
      <c r="H66" s="17" t="s">
        <v>1169</v>
      </c>
      <c r="I66" s="17">
        <f t="shared" si="2"/>
        <v>159</v>
      </c>
      <c r="J66" s="17">
        <f t="shared" si="3"/>
        <v>159</v>
      </c>
      <c r="K66" s="30" t="s">
        <v>1289</v>
      </c>
      <c r="L66" s="39" t="s">
        <v>32</v>
      </c>
      <c r="M66" s="39" t="s">
        <v>32</v>
      </c>
      <c r="N66" s="17" t="s">
        <v>32</v>
      </c>
      <c r="O66" s="17" t="s">
        <v>32</v>
      </c>
      <c r="P66" s="17" t="s">
        <v>32</v>
      </c>
      <c r="Q66" s="17" t="s">
        <v>32</v>
      </c>
      <c r="R66" s="17" t="s">
        <v>32</v>
      </c>
    </row>
    <row r="67" spans="1:18" ht="20.100000000000001" customHeight="1" x14ac:dyDescent="0.25">
      <c r="A67" s="15"/>
      <c r="B67" s="17" t="s">
        <v>1170</v>
      </c>
      <c r="C67" s="17"/>
      <c r="D67" s="17" t="s">
        <v>1167</v>
      </c>
      <c r="E67" s="17" t="s">
        <v>194</v>
      </c>
      <c r="F67" s="17" t="s">
        <v>1171</v>
      </c>
      <c r="G67" s="15">
        <v>1</v>
      </c>
      <c r="H67" s="17" t="s">
        <v>32</v>
      </c>
      <c r="I67" s="17">
        <f t="shared" si="2"/>
        <v>149</v>
      </c>
      <c r="J67" s="17">
        <f t="shared" si="3"/>
        <v>149</v>
      </c>
      <c r="K67" s="39" t="s">
        <v>32</v>
      </c>
      <c r="L67" s="30" t="s">
        <v>1289</v>
      </c>
      <c r="M67" s="39" t="s">
        <v>32</v>
      </c>
      <c r="N67" s="17" t="s">
        <v>32</v>
      </c>
      <c r="O67" s="17" t="s">
        <v>32</v>
      </c>
      <c r="P67" s="17" t="s">
        <v>32</v>
      </c>
      <c r="Q67" s="17" t="s">
        <v>32</v>
      </c>
      <c r="R67" s="17" t="s">
        <v>32</v>
      </c>
    </row>
    <row r="68" spans="1:18" ht="20.100000000000001" customHeight="1" x14ac:dyDescent="0.25">
      <c r="A68" s="15"/>
      <c r="B68" s="17" t="s">
        <v>1172</v>
      </c>
      <c r="C68" s="17"/>
      <c r="D68" s="17" t="s">
        <v>1167</v>
      </c>
      <c r="E68" s="17" t="s">
        <v>1122</v>
      </c>
      <c r="F68" s="17" t="s">
        <v>1173</v>
      </c>
      <c r="G68" s="15">
        <v>1</v>
      </c>
      <c r="H68" s="17" t="s">
        <v>32</v>
      </c>
      <c r="I68" s="17">
        <f t="shared" si="2"/>
        <v>144</v>
      </c>
      <c r="J68" s="17">
        <f t="shared" si="3"/>
        <v>144</v>
      </c>
      <c r="K68" s="39" t="s">
        <v>32</v>
      </c>
      <c r="L68" s="39" t="s">
        <v>32</v>
      </c>
      <c r="M68" s="30" t="s">
        <v>1289</v>
      </c>
      <c r="N68" s="17" t="s">
        <v>32</v>
      </c>
      <c r="O68" s="17" t="s">
        <v>32</v>
      </c>
      <c r="P68" s="17" t="s">
        <v>32</v>
      </c>
      <c r="Q68" s="17" t="s">
        <v>32</v>
      </c>
      <c r="R68" s="17" t="s">
        <v>32</v>
      </c>
    </row>
    <row r="69" spans="1:18" ht="20.100000000000001" customHeight="1" x14ac:dyDescent="0.25">
      <c r="A69" s="14">
        <v>1111</v>
      </c>
      <c r="B69" s="16" t="s">
        <v>1174</v>
      </c>
      <c r="C69" s="16"/>
      <c r="D69" s="16" t="s">
        <v>1175</v>
      </c>
      <c r="E69" s="16" t="s">
        <v>1176</v>
      </c>
      <c r="F69" s="16" t="s">
        <v>1177</v>
      </c>
      <c r="G69" s="14">
        <v>1</v>
      </c>
      <c r="H69" s="16" t="s">
        <v>1178</v>
      </c>
      <c r="I69" s="16">
        <f t="shared" si="2"/>
        <v>303</v>
      </c>
      <c r="J69" s="16">
        <f t="shared" si="3"/>
        <v>303</v>
      </c>
      <c r="K69" s="3" t="s">
        <v>1289</v>
      </c>
      <c r="L69" s="38" t="s">
        <v>32</v>
      </c>
      <c r="M69" s="3" t="s">
        <v>1289</v>
      </c>
      <c r="N69" s="16" t="s">
        <v>32</v>
      </c>
      <c r="O69" s="16" t="s">
        <v>32</v>
      </c>
      <c r="P69" s="16" t="s">
        <v>32</v>
      </c>
      <c r="Q69" s="16" t="s">
        <v>32</v>
      </c>
      <c r="R69" s="16" t="s">
        <v>32</v>
      </c>
    </row>
    <row r="70" spans="1:18" ht="20.100000000000001" customHeight="1" x14ac:dyDescent="0.25">
      <c r="A70" s="14"/>
      <c r="B70" s="16" t="s">
        <v>1179</v>
      </c>
      <c r="C70" s="16"/>
      <c r="D70" s="16" t="s">
        <v>1175</v>
      </c>
      <c r="E70" s="16" t="s">
        <v>1180</v>
      </c>
      <c r="F70" s="16" t="s">
        <v>1181</v>
      </c>
      <c r="G70" s="14">
        <v>1</v>
      </c>
      <c r="H70" s="16" t="s">
        <v>32</v>
      </c>
      <c r="I70" s="16">
        <f t="shared" ref="I70:I73" si="4">G70*J70</f>
        <v>149</v>
      </c>
      <c r="J70" s="16">
        <f t="shared" ref="J70:J73" si="5">IF(EXACT(K70,"V"),$K$5,0)+IF(EXACT(L70,"V"),$L$5,0)+IF(EXACT(M70,"V"),$M$5,0)+IF(EXACT(N70,"V"),$N$5,0)+IF(EXACT(O70,"V"),$O$5,0)+IF(EXACT(P70,"V"),$P$5,0)+IF(EXACT(Q70,"V"),$Q$5,0)</f>
        <v>149</v>
      </c>
      <c r="K70" s="38" t="s">
        <v>32</v>
      </c>
      <c r="L70" s="3" t="s">
        <v>1289</v>
      </c>
      <c r="M70" s="38" t="s">
        <v>32</v>
      </c>
      <c r="N70" s="16" t="s">
        <v>32</v>
      </c>
      <c r="O70" s="16" t="s">
        <v>32</v>
      </c>
      <c r="P70" s="16" t="s">
        <v>32</v>
      </c>
      <c r="Q70" s="16" t="s">
        <v>32</v>
      </c>
      <c r="R70" s="16" t="s">
        <v>32</v>
      </c>
    </row>
    <row r="71" spans="1:18" ht="20.100000000000001" customHeight="1" x14ac:dyDescent="0.25">
      <c r="A71" s="15">
        <v>1207</v>
      </c>
      <c r="B71" s="17" t="s">
        <v>1182</v>
      </c>
      <c r="C71" s="17"/>
      <c r="D71" s="17" t="s">
        <v>1183</v>
      </c>
      <c r="E71" s="17" t="s">
        <v>364</v>
      </c>
      <c r="F71" s="17" t="s">
        <v>1184</v>
      </c>
      <c r="G71" s="15">
        <v>1</v>
      </c>
      <c r="H71" s="17" t="s">
        <v>1185</v>
      </c>
      <c r="I71" s="17">
        <f t="shared" si="4"/>
        <v>159</v>
      </c>
      <c r="J71" s="17">
        <f t="shared" si="5"/>
        <v>159</v>
      </c>
      <c r="K71" s="30" t="s">
        <v>1289</v>
      </c>
      <c r="L71" s="39" t="s">
        <v>32</v>
      </c>
      <c r="M71" s="39" t="s">
        <v>32</v>
      </c>
      <c r="N71" s="17" t="s">
        <v>32</v>
      </c>
      <c r="O71" s="17" t="s">
        <v>32</v>
      </c>
      <c r="P71" s="17" t="s">
        <v>32</v>
      </c>
      <c r="Q71" s="17" t="s">
        <v>32</v>
      </c>
      <c r="R71" s="17" t="s">
        <v>32</v>
      </c>
    </row>
    <row r="72" spans="1:18" ht="20.100000000000001" customHeight="1" x14ac:dyDescent="0.25">
      <c r="A72" s="15"/>
      <c r="B72" s="17" t="s">
        <v>1186</v>
      </c>
      <c r="C72" s="17"/>
      <c r="D72" s="17" t="s">
        <v>1183</v>
      </c>
      <c r="E72" s="17" t="s">
        <v>379</v>
      </c>
      <c r="F72" s="17" t="s">
        <v>1187</v>
      </c>
      <c r="G72" s="15">
        <v>1</v>
      </c>
      <c r="H72" s="17" t="s">
        <v>32</v>
      </c>
      <c r="I72" s="17">
        <f t="shared" si="4"/>
        <v>149</v>
      </c>
      <c r="J72" s="17">
        <f t="shared" si="5"/>
        <v>149</v>
      </c>
      <c r="K72" s="39" t="s">
        <v>32</v>
      </c>
      <c r="L72" s="30" t="s">
        <v>1289</v>
      </c>
      <c r="M72" s="39" t="s">
        <v>32</v>
      </c>
      <c r="N72" s="17" t="s">
        <v>32</v>
      </c>
      <c r="O72" s="17" t="s">
        <v>32</v>
      </c>
      <c r="P72" s="17" t="s">
        <v>32</v>
      </c>
      <c r="Q72" s="17" t="s">
        <v>32</v>
      </c>
      <c r="R72" s="17" t="s">
        <v>32</v>
      </c>
    </row>
    <row r="73" spans="1:18" ht="20.100000000000001" customHeight="1" x14ac:dyDescent="0.25">
      <c r="A73" s="15"/>
      <c r="B73" s="17" t="s">
        <v>1188</v>
      </c>
      <c r="C73" s="17"/>
      <c r="D73" s="17" t="s">
        <v>1183</v>
      </c>
      <c r="E73" s="17" t="s">
        <v>372</v>
      </c>
      <c r="F73" s="17" t="s">
        <v>1189</v>
      </c>
      <c r="G73" s="15">
        <v>1</v>
      </c>
      <c r="H73" s="17" t="s">
        <v>32</v>
      </c>
      <c r="I73" s="17">
        <f t="shared" si="4"/>
        <v>144</v>
      </c>
      <c r="J73" s="17">
        <f t="shared" si="5"/>
        <v>144</v>
      </c>
      <c r="K73" s="39" t="s">
        <v>32</v>
      </c>
      <c r="L73" s="39" t="s">
        <v>32</v>
      </c>
      <c r="M73" s="30" t="s">
        <v>1289</v>
      </c>
      <c r="N73" s="17" t="s">
        <v>32</v>
      </c>
      <c r="O73" s="17" t="s">
        <v>32</v>
      </c>
      <c r="P73" s="17" t="s">
        <v>32</v>
      </c>
      <c r="Q73" s="17" t="s">
        <v>32</v>
      </c>
      <c r="R73" s="17" t="s">
        <v>32</v>
      </c>
    </row>
  </sheetData>
  <mergeCells count="2">
    <mergeCell ref="A1:R1"/>
    <mergeCell ref="A2:R2"/>
  </mergeCells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9"/>
  <sheetViews>
    <sheetView zoomScale="115" zoomScaleNormal="115" workbookViewId="0">
      <selection sqref="A1:R1"/>
    </sheetView>
  </sheetViews>
  <sheetFormatPr defaultRowHeight="20.100000000000001" customHeight="1" x14ac:dyDescent="0.25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24.28515625" customWidth="1"/>
    <col min="9" max="10" width="5" customWidth="1"/>
    <col min="11" max="13" width="6" style="31" customWidth="1"/>
    <col min="14" max="18" width="6" customWidth="1"/>
  </cols>
  <sheetData>
    <row r="1" spans="1:18" ht="20.100000000000001" customHeight="1" x14ac:dyDescent="0.25">
      <c r="A1" s="64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20.100000000000001" customHeight="1" x14ac:dyDescent="0.25">
      <c r="A2" s="64" t="s">
        <v>16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ht="20.100000000000001" customHeight="1" x14ac:dyDescent="0.25">
      <c r="A3" s="18"/>
      <c r="B3" s="18" t="s">
        <v>2</v>
      </c>
      <c r="C3" s="18"/>
      <c r="D3" s="18" t="s">
        <v>17</v>
      </c>
      <c r="E3" s="18"/>
      <c r="F3" s="18" t="s">
        <v>18</v>
      </c>
      <c r="G3" s="18"/>
      <c r="H3" s="18" t="s">
        <v>3</v>
      </c>
      <c r="I3" s="18"/>
      <c r="J3" s="18" t="s">
        <v>4</v>
      </c>
      <c r="K3" s="40"/>
      <c r="L3" s="40"/>
      <c r="M3" s="40"/>
      <c r="N3" s="18"/>
      <c r="O3" s="18"/>
      <c r="P3" s="18"/>
      <c r="Q3" s="18"/>
      <c r="R3" s="18"/>
    </row>
    <row r="4" spans="1:18" ht="20.100000000000001" customHeight="1" x14ac:dyDescent="0.25">
      <c r="A4" s="18"/>
      <c r="B4" s="18" t="s">
        <v>5</v>
      </c>
      <c r="C4" s="18"/>
      <c r="D4" s="18"/>
      <c r="E4" s="18"/>
      <c r="F4" s="18" t="s">
        <v>19</v>
      </c>
      <c r="G4" s="18"/>
      <c r="H4" s="18" t="s">
        <v>6</v>
      </c>
      <c r="I4" s="18"/>
      <c r="J4" s="18"/>
      <c r="K4" s="20" t="s">
        <v>20</v>
      </c>
      <c r="L4" s="20" t="s">
        <v>21</v>
      </c>
      <c r="M4" s="20" t="s">
        <v>22</v>
      </c>
      <c r="N4" s="20" t="s">
        <v>23</v>
      </c>
      <c r="O4" s="20" t="s">
        <v>24</v>
      </c>
      <c r="P4" s="20" t="s">
        <v>25</v>
      </c>
      <c r="Q4" s="20" t="s">
        <v>26</v>
      </c>
      <c r="R4" s="18"/>
    </row>
    <row r="5" spans="1:18" ht="20.100000000000001" customHeight="1" x14ac:dyDescent="0.25">
      <c r="A5" s="19" t="s">
        <v>8</v>
      </c>
      <c r="B5" s="19" t="s">
        <v>9</v>
      </c>
      <c r="C5" s="19" t="s">
        <v>10</v>
      </c>
      <c r="D5" s="19" t="s">
        <v>27</v>
      </c>
      <c r="E5" s="19" t="s">
        <v>12</v>
      </c>
      <c r="F5" s="19" t="s">
        <v>13</v>
      </c>
      <c r="G5" s="19" t="s">
        <v>28</v>
      </c>
      <c r="H5" s="19" t="s">
        <v>29</v>
      </c>
      <c r="I5" s="19" t="s">
        <v>30</v>
      </c>
      <c r="J5" s="19" t="s">
        <v>31</v>
      </c>
      <c r="K5" s="5">
        <v>159</v>
      </c>
      <c r="L5" s="5">
        <v>149</v>
      </c>
      <c r="M5" s="5">
        <v>144</v>
      </c>
      <c r="N5" s="19" t="s">
        <v>32</v>
      </c>
      <c r="O5" s="19" t="s">
        <v>32</v>
      </c>
      <c r="P5" s="19" t="s">
        <v>32</v>
      </c>
      <c r="Q5" s="19" t="s">
        <v>32</v>
      </c>
      <c r="R5" s="19" t="s">
        <v>33</v>
      </c>
    </row>
    <row r="6" spans="1:18" ht="20.100000000000001" customHeight="1" x14ac:dyDescent="0.25">
      <c r="A6" s="21">
        <v>40</v>
      </c>
      <c r="B6" s="23" t="s">
        <v>60</v>
      </c>
      <c r="C6" s="23"/>
      <c r="D6" s="23" t="s">
        <v>61</v>
      </c>
      <c r="E6" s="23" t="s">
        <v>49</v>
      </c>
      <c r="F6" s="23" t="s">
        <v>62</v>
      </c>
      <c r="G6" s="21">
        <v>1</v>
      </c>
      <c r="H6" s="23" t="s">
        <v>1190</v>
      </c>
      <c r="I6" s="23">
        <f t="shared" ref="I6:I37" si="0">G6*J6</f>
        <v>159</v>
      </c>
      <c r="J6" s="23">
        <f t="shared" ref="J6:J37" si="1">IF(EXACT(K6,"V"),$K$5,0)+IF(EXACT(L6,"V"),$L$5,0)+IF(EXACT(M6,"V"),$M$5,0)+IF(EXACT(N6,"V"),$N$5,0)+IF(EXACT(O6,"V"),$O$5,0)+IF(EXACT(P6,"V"),$P$5,0)+IF(EXACT(Q6,"V"),$Q$5,0)</f>
        <v>159</v>
      </c>
      <c r="K6" s="3" t="s">
        <v>1289</v>
      </c>
      <c r="L6" s="41" t="s">
        <v>32</v>
      </c>
      <c r="M6" s="41" t="s">
        <v>32</v>
      </c>
      <c r="N6" s="23" t="s">
        <v>32</v>
      </c>
      <c r="O6" s="23" t="s">
        <v>32</v>
      </c>
      <c r="P6" s="23" t="s">
        <v>32</v>
      </c>
      <c r="Q6" s="23" t="s">
        <v>32</v>
      </c>
      <c r="R6" s="23" t="s">
        <v>32</v>
      </c>
    </row>
    <row r="7" spans="1:18" ht="20.100000000000001" customHeight="1" x14ac:dyDescent="0.25">
      <c r="A7" s="21"/>
      <c r="B7" s="23" t="s">
        <v>64</v>
      </c>
      <c r="C7" s="23"/>
      <c r="D7" s="23" t="s">
        <v>65</v>
      </c>
      <c r="E7" s="23" t="s">
        <v>66</v>
      </c>
      <c r="F7" s="23" t="s">
        <v>67</v>
      </c>
      <c r="G7" s="21">
        <v>1</v>
      </c>
      <c r="H7" s="23" t="s">
        <v>32</v>
      </c>
      <c r="I7" s="23">
        <f t="shared" si="0"/>
        <v>149</v>
      </c>
      <c r="J7" s="23">
        <f t="shared" si="1"/>
        <v>149</v>
      </c>
      <c r="K7" s="41" t="s">
        <v>32</v>
      </c>
      <c r="L7" s="3" t="s">
        <v>1289</v>
      </c>
      <c r="M7" s="41" t="s">
        <v>32</v>
      </c>
      <c r="N7" s="23" t="s">
        <v>32</v>
      </c>
      <c r="O7" s="23" t="s">
        <v>32</v>
      </c>
      <c r="P7" s="23" t="s">
        <v>32</v>
      </c>
      <c r="Q7" s="23" t="s">
        <v>32</v>
      </c>
      <c r="R7" s="23" t="s">
        <v>32</v>
      </c>
    </row>
    <row r="8" spans="1:18" ht="20.100000000000001" customHeight="1" x14ac:dyDescent="0.25">
      <c r="A8" s="21"/>
      <c r="B8" s="23" t="s">
        <v>68</v>
      </c>
      <c r="C8" s="23"/>
      <c r="D8" s="23" t="s">
        <v>69</v>
      </c>
      <c r="E8" s="23" t="s">
        <v>70</v>
      </c>
      <c r="F8" s="23" t="s">
        <v>71</v>
      </c>
      <c r="G8" s="21">
        <v>1</v>
      </c>
      <c r="H8" s="23" t="s">
        <v>32</v>
      </c>
      <c r="I8" s="23">
        <f t="shared" si="0"/>
        <v>144</v>
      </c>
      <c r="J8" s="23">
        <f t="shared" si="1"/>
        <v>144</v>
      </c>
      <c r="K8" s="41" t="s">
        <v>32</v>
      </c>
      <c r="L8" s="41" t="s">
        <v>32</v>
      </c>
      <c r="M8" s="3" t="s">
        <v>1289</v>
      </c>
      <c r="N8" s="23" t="s">
        <v>32</v>
      </c>
      <c r="O8" s="23" t="s">
        <v>32</v>
      </c>
      <c r="P8" s="23" t="s">
        <v>32</v>
      </c>
      <c r="Q8" s="23" t="s">
        <v>32</v>
      </c>
      <c r="R8" s="23" t="s">
        <v>32</v>
      </c>
    </row>
    <row r="9" spans="1:18" ht="20.100000000000001" customHeight="1" x14ac:dyDescent="0.25">
      <c r="A9" s="22">
        <v>153</v>
      </c>
      <c r="B9" s="24" t="s">
        <v>141</v>
      </c>
      <c r="C9" s="24"/>
      <c r="D9" s="24" t="s">
        <v>142</v>
      </c>
      <c r="E9" s="24" t="s">
        <v>81</v>
      </c>
      <c r="F9" s="24" t="s">
        <v>143</v>
      </c>
      <c r="G9" s="22">
        <v>1</v>
      </c>
      <c r="H9" s="24" t="s">
        <v>1191</v>
      </c>
      <c r="I9" s="24">
        <f t="shared" si="0"/>
        <v>159</v>
      </c>
      <c r="J9" s="24">
        <f t="shared" si="1"/>
        <v>159</v>
      </c>
      <c r="K9" s="30" t="s">
        <v>1289</v>
      </c>
      <c r="L9" s="42" t="s">
        <v>32</v>
      </c>
      <c r="M9" s="42" t="s">
        <v>32</v>
      </c>
      <c r="N9" s="24" t="s">
        <v>32</v>
      </c>
      <c r="O9" s="24" t="s">
        <v>32</v>
      </c>
      <c r="P9" s="24" t="s">
        <v>32</v>
      </c>
      <c r="Q9" s="24" t="s">
        <v>32</v>
      </c>
      <c r="R9" s="24" t="s">
        <v>32</v>
      </c>
    </row>
    <row r="10" spans="1:18" ht="20.100000000000001" customHeight="1" x14ac:dyDescent="0.25">
      <c r="A10" s="22"/>
      <c r="B10" s="24" t="s">
        <v>145</v>
      </c>
      <c r="C10" s="24"/>
      <c r="D10" s="24" t="s">
        <v>142</v>
      </c>
      <c r="E10" s="24" t="s">
        <v>146</v>
      </c>
      <c r="F10" s="24" t="s">
        <v>147</v>
      </c>
      <c r="G10" s="22">
        <v>1</v>
      </c>
      <c r="H10" s="24" t="s">
        <v>32</v>
      </c>
      <c r="I10" s="24">
        <f t="shared" si="0"/>
        <v>149</v>
      </c>
      <c r="J10" s="24">
        <f t="shared" si="1"/>
        <v>149</v>
      </c>
      <c r="K10" s="42" t="s">
        <v>32</v>
      </c>
      <c r="L10" s="30" t="s">
        <v>1289</v>
      </c>
      <c r="M10" s="42" t="s">
        <v>32</v>
      </c>
      <c r="N10" s="24" t="s">
        <v>32</v>
      </c>
      <c r="O10" s="24" t="s">
        <v>32</v>
      </c>
      <c r="P10" s="24" t="s">
        <v>32</v>
      </c>
      <c r="Q10" s="24" t="s">
        <v>32</v>
      </c>
      <c r="R10" s="24" t="s">
        <v>32</v>
      </c>
    </row>
    <row r="11" spans="1:18" ht="20.100000000000001" customHeight="1" x14ac:dyDescent="0.25">
      <c r="A11" s="22"/>
      <c r="B11" s="24" t="s">
        <v>148</v>
      </c>
      <c r="C11" s="24"/>
      <c r="D11" s="24" t="s">
        <v>142</v>
      </c>
      <c r="E11" s="24" t="s">
        <v>93</v>
      </c>
      <c r="F11" s="24" t="s">
        <v>149</v>
      </c>
      <c r="G11" s="22">
        <v>1</v>
      </c>
      <c r="H11" s="24" t="s">
        <v>32</v>
      </c>
      <c r="I11" s="24">
        <f t="shared" si="0"/>
        <v>144</v>
      </c>
      <c r="J11" s="24">
        <f t="shared" si="1"/>
        <v>144</v>
      </c>
      <c r="K11" s="42" t="s">
        <v>32</v>
      </c>
      <c r="L11" s="42" t="s">
        <v>32</v>
      </c>
      <c r="M11" s="30" t="s">
        <v>1289</v>
      </c>
      <c r="N11" s="24" t="s">
        <v>32</v>
      </c>
      <c r="O11" s="24" t="s">
        <v>32</v>
      </c>
      <c r="P11" s="24" t="s">
        <v>32</v>
      </c>
      <c r="Q11" s="24" t="s">
        <v>32</v>
      </c>
      <c r="R11" s="24" t="s">
        <v>32</v>
      </c>
    </row>
    <row r="12" spans="1:18" ht="20.100000000000001" customHeight="1" x14ac:dyDescent="0.25">
      <c r="A12" s="21">
        <v>181</v>
      </c>
      <c r="B12" s="23" t="s">
        <v>214</v>
      </c>
      <c r="C12" s="23"/>
      <c r="D12" s="23" t="s">
        <v>215</v>
      </c>
      <c r="E12" s="23" t="s">
        <v>85</v>
      </c>
      <c r="F12" s="23" t="s">
        <v>216</v>
      </c>
      <c r="G12" s="21">
        <v>1</v>
      </c>
      <c r="H12" s="23" t="s">
        <v>1192</v>
      </c>
      <c r="I12" s="23">
        <f t="shared" si="0"/>
        <v>159</v>
      </c>
      <c r="J12" s="23">
        <f t="shared" si="1"/>
        <v>159</v>
      </c>
      <c r="K12" s="3" t="s">
        <v>1289</v>
      </c>
      <c r="L12" s="41" t="s">
        <v>32</v>
      </c>
      <c r="M12" s="41" t="s">
        <v>32</v>
      </c>
      <c r="N12" s="23" t="s">
        <v>32</v>
      </c>
      <c r="O12" s="23" t="s">
        <v>32</v>
      </c>
      <c r="P12" s="23" t="s">
        <v>32</v>
      </c>
      <c r="Q12" s="23" t="s">
        <v>32</v>
      </c>
      <c r="R12" s="23" t="s">
        <v>32</v>
      </c>
    </row>
    <row r="13" spans="1:18" ht="20.100000000000001" customHeight="1" x14ac:dyDescent="0.25">
      <c r="A13" s="21"/>
      <c r="B13" s="23" t="s">
        <v>218</v>
      </c>
      <c r="C13" s="23"/>
      <c r="D13" s="23" t="s">
        <v>219</v>
      </c>
      <c r="E13" s="23" t="s">
        <v>146</v>
      </c>
      <c r="F13" s="23" t="s">
        <v>220</v>
      </c>
      <c r="G13" s="21">
        <v>1</v>
      </c>
      <c r="H13" s="23" t="s">
        <v>32</v>
      </c>
      <c r="I13" s="23">
        <f t="shared" si="0"/>
        <v>149</v>
      </c>
      <c r="J13" s="23">
        <f t="shared" si="1"/>
        <v>149</v>
      </c>
      <c r="K13" s="41" t="s">
        <v>32</v>
      </c>
      <c r="L13" s="3" t="s">
        <v>1289</v>
      </c>
      <c r="M13" s="41" t="s">
        <v>32</v>
      </c>
      <c r="N13" s="23" t="s">
        <v>32</v>
      </c>
      <c r="O13" s="23" t="s">
        <v>32</v>
      </c>
      <c r="P13" s="23" t="s">
        <v>32</v>
      </c>
      <c r="Q13" s="23" t="s">
        <v>32</v>
      </c>
      <c r="R13" s="23" t="s">
        <v>32</v>
      </c>
    </row>
    <row r="14" spans="1:18" ht="20.100000000000001" customHeight="1" x14ac:dyDescent="0.25">
      <c r="A14" s="21"/>
      <c r="B14" s="23" t="s">
        <v>221</v>
      </c>
      <c r="C14" s="23"/>
      <c r="D14" s="23" t="s">
        <v>222</v>
      </c>
      <c r="E14" s="23" t="s">
        <v>93</v>
      </c>
      <c r="F14" s="23" t="s">
        <v>223</v>
      </c>
      <c r="G14" s="21">
        <v>1</v>
      </c>
      <c r="H14" s="23" t="s">
        <v>32</v>
      </c>
      <c r="I14" s="23">
        <f t="shared" si="0"/>
        <v>144</v>
      </c>
      <c r="J14" s="23">
        <f t="shared" si="1"/>
        <v>144</v>
      </c>
      <c r="K14" s="41" t="s">
        <v>32</v>
      </c>
      <c r="L14" s="41" t="s">
        <v>32</v>
      </c>
      <c r="M14" s="3" t="s">
        <v>1289</v>
      </c>
      <c r="N14" s="23" t="s">
        <v>32</v>
      </c>
      <c r="O14" s="23" t="s">
        <v>32</v>
      </c>
      <c r="P14" s="23" t="s">
        <v>32</v>
      </c>
      <c r="Q14" s="23" t="s">
        <v>32</v>
      </c>
      <c r="R14" s="23" t="s">
        <v>32</v>
      </c>
    </row>
    <row r="15" spans="1:18" ht="20.100000000000001" customHeight="1" x14ac:dyDescent="0.25">
      <c r="A15" s="22">
        <v>229</v>
      </c>
      <c r="B15" s="24" t="s">
        <v>268</v>
      </c>
      <c r="C15" s="24"/>
      <c r="D15" s="24" t="s">
        <v>269</v>
      </c>
      <c r="E15" s="24" t="s">
        <v>85</v>
      </c>
      <c r="F15" s="24" t="s">
        <v>270</v>
      </c>
      <c r="G15" s="22">
        <v>4</v>
      </c>
      <c r="H15" s="24" t="s">
        <v>1193</v>
      </c>
      <c r="I15" s="24">
        <f t="shared" si="0"/>
        <v>636</v>
      </c>
      <c r="J15" s="24">
        <f t="shared" si="1"/>
        <v>159</v>
      </c>
      <c r="K15" s="30" t="s">
        <v>1289</v>
      </c>
      <c r="L15" s="42" t="s">
        <v>32</v>
      </c>
      <c r="M15" s="42" t="s">
        <v>32</v>
      </c>
      <c r="N15" s="24" t="s">
        <v>32</v>
      </c>
      <c r="O15" s="24" t="s">
        <v>32</v>
      </c>
      <c r="P15" s="24" t="s">
        <v>32</v>
      </c>
      <c r="Q15" s="24" t="s">
        <v>32</v>
      </c>
      <c r="R15" s="24" t="s">
        <v>32</v>
      </c>
    </row>
    <row r="16" spans="1:18" ht="20.100000000000001" customHeight="1" x14ac:dyDescent="0.25">
      <c r="A16" s="22"/>
      <c r="B16" s="24" t="s">
        <v>271</v>
      </c>
      <c r="C16" s="24"/>
      <c r="D16" s="24" t="s">
        <v>272</v>
      </c>
      <c r="E16" s="24" t="s">
        <v>93</v>
      </c>
      <c r="F16" s="24" t="s">
        <v>273</v>
      </c>
      <c r="G16" s="22">
        <v>4</v>
      </c>
      <c r="H16" s="24" t="s">
        <v>32</v>
      </c>
      <c r="I16" s="24">
        <f t="shared" si="0"/>
        <v>596</v>
      </c>
      <c r="J16" s="24">
        <f t="shared" si="1"/>
        <v>149</v>
      </c>
      <c r="K16" s="42" t="s">
        <v>32</v>
      </c>
      <c r="L16" s="30" t="s">
        <v>1289</v>
      </c>
      <c r="M16" s="42" t="s">
        <v>32</v>
      </c>
      <c r="N16" s="24" t="s">
        <v>32</v>
      </c>
      <c r="O16" s="24" t="s">
        <v>32</v>
      </c>
      <c r="P16" s="24" t="s">
        <v>32</v>
      </c>
      <c r="Q16" s="24" t="s">
        <v>32</v>
      </c>
      <c r="R16" s="24" t="s">
        <v>32</v>
      </c>
    </row>
    <row r="17" spans="1:18" ht="20.100000000000001" customHeight="1" x14ac:dyDescent="0.25">
      <c r="A17" s="22"/>
      <c r="B17" s="24" t="s">
        <v>274</v>
      </c>
      <c r="C17" s="24"/>
      <c r="D17" s="24" t="s">
        <v>275</v>
      </c>
      <c r="E17" s="24" t="s">
        <v>78</v>
      </c>
      <c r="F17" s="24" t="s">
        <v>276</v>
      </c>
      <c r="G17" s="22">
        <v>4</v>
      </c>
      <c r="H17" s="24" t="s">
        <v>32</v>
      </c>
      <c r="I17" s="24">
        <f t="shared" si="0"/>
        <v>576</v>
      </c>
      <c r="J17" s="24">
        <f t="shared" si="1"/>
        <v>144</v>
      </c>
      <c r="K17" s="42" t="s">
        <v>32</v>
      </c>
      <c r="L17" s="42" t="s">
        <v>32</v>
      </c>
      <c r="M17" s="30" t="s">
        <v>1289</v>
      </c>
      <c r="N17" s="24" t="s">
        <v>32</v>
      </c>
      <c r="O17" s="24" t="s">
        <v>32</v>
      </c>
      <c r="P17" s="24" t="s">
        <v>32</v>
      </c>
      <c r="Q17" s="24" t="s">
        <v>32</v>
      </c>
      <c r="R17" s="24" t="s">
        <v>32</v>
      </c>
    </row>
    <row r="18" spans="1:18" ht="20.100000000000001" customHeight="1" x14ac:dyDescent="0.25">
      <c r="A18" s="21">
        <v>231</v>
      </c>
      <c r="B18" s="23" t="s">
        <v>277</v>
      </c>
      <c r="C18" s="23"/>
      <c r="D18" s="23" t="s">
        <v>278</v>
      </c>
      <c r="E18" s="23" t="s">
        <v>85</v>
      </c>
      <c r="F18" s="23" t="s">
        <v>279</v>
      </c>
      <c r="G18" s="21">
        <v>1</v>
      </c>
      <c r="H18" s="23" t="s">
        <v>1194</v>
      </c>
      <c r="I18" s="23">
        <f t="shared" si="0"/>
        <v>159</v>
      </c>
      <c r="J18" s="23">
        <f t="shared" si="1"/>
        <v>159</v>
      </c>
      <c r="K18" s="3" t="s">
        <v>1289</v>
      </c>
      <c r="L18" s="41" t="s">
        <v>32</v>
      </c>
      <c r="M18" s="41" t="s">
        <v>32</v>
      </c>
      <c r="N18" s="23" t="s">
        <v>32</v>
      </c>
      <c r="O18" s="23" t="s">
        <v>32</v>
      </c>
      <c r="P18" s="23" t="s">
        <v>32</v>
      </c>
      <c r="Q18" s="23" t="s">
        <v>32</v>
      </c>
      <c r="R18" s="23" t="s">
        <v>32</v>
      </c>
    </row>
    <row r="19" spans="1:18" ht="20.100000000000001" customHeight="1" x14ac:dyDescent="0.25">
      <c r="A19" s="21"/>
      <c r="B19" s="23" t="s">
        <v>281</v>
      </c>
      <c r="C19" s="23"/>
      <c r="D19" s="23" t="s">
        <v>282</v>
      </c>
      <c r="E19" s="23" t="s">
        <v>146</v>
      </c>
      <c r="F19" s="23" t="s">
        <v>283</v>
      </c>
      <c r="G19" s="21">
        <v>1</v>
      </c>
      <c r="H19" s="23" t="s">
        <v>32</v>
      </c>
      <c r="I19" s="23">
        <f t="shared" si="0"/>
        <v>149</v>
      </c>
      <c r="J19" s="23">
        <f t="shared" si="1"/>
        <v>149</v>
      </c>
      <c r="K19" s="41" t="s">
        <v>32</v>
      </c>
      <c r="L19" s="3" t="s">
        <v>1289</v>
      </c>
      <c r="M19" s="41" t="s">
        <v>32</v>
      </c>
      <c r="N19" s="23" t="s">
        <v>32</v>
      </c>
      <c r="O19" s="23" t="s">
        <v>32</v>
      </c>
      <c r="P19" s="23" t="s">
        <v>32</v>
      </c>
      <c r="Q19" s="23" t="s">
        <v>32</v>
      </c>
      <c r="R19" s="23" t="s">
        <v>32</v>
      </c>
    </row>
    <row r="20" spans="1:18" ht="20.100000000000001" customHeight="1" x14ac:dyDescent="0.25">
      <c r="A20" s="21"/>
      <c r="B20" s="23" t="s">
        <v>284</v>
      </c>
      <c r="C20" s="23"/>
      <c r="D20" s="23" t="s">
        <v>285</v>
      </c>
      <c r="E20" s="23" t="s">
        <v>93</v>
      </c>
      <c r="F20" s="23" t="s">
        <v>286</v>
      </c>
      <c r="G20" s="21">
        <v>1</v>
      </c>
      <c r="H20" s="23" t="s">
        <v>32</v>
      </c>
      <c r="I20" s="23">
        <f t="shared" si="0"/>
        <v>144</v>
      </c>
      <c r="J20" s="23">
        <f t="shared" si="1"/>
        <v>144</v>
      </c>
      <c r="K20" s="41" t="s">
        <v>32</v>
      </c>
      <c r="L20" s="41" t="s">
        <v>32</v>
      </c>
      <c r="M20" s="3" t="s">
        <v>1289</v>
      </c>
      <c r="N20" s="23" t="s">
        <v>32</v>
      </c>
      <c r="O20" s="23" t="s">
        <v>32</v>
      </c>
      <c r="P20" s="23" t="s">
        <v>32</v>
      </c>
      <c r="Q20" s="23" t="s">
        <v>32</v>
      </c>
      <c r="R20" s="23" t="s">
        <v>32</v>
      </c>
    </row>
    <row r="21" spans="1:18" ht="20.100000000000001" customHeight="1" x14ac:dyDescent="0.25">
      <c r="A21" s="22">
        <v>354</v>
      </c>
      <c r="B21" s="24" t="s">
        <v>1195</v>
      </c>
      <c r="C21" s="24"/>
      <c r="D21" s="24" t="s">
        <v>1196</v>
      </c>
      <c r="E21" s="24" t="s">
        <v>348</v>
      </c>
      <c r="F21" s="24" t="s">
        <v>1197</v>
      </c>
      <c r="G21" s="22">
        <v>3</v>
      </c>
      <c r="H21" s="24" t="s">
        <v>1198</v>
      </c>
      <c r="I21" s="24">
        <f t="shared" si="0"/>
        <v>477</v>
      </c>
      <c r="J21" s="24">
        <f t="shared" si="1"/>
        <v>159</v>
      </c>
      <c r="K21" s="30" t="s">
        <v>1289</v>
      </c>
      <c r="L21" s="42" t="s">
        <v>32</v>
      </c>
      <c r="M21" s="42" t="s">
        <v>32</v>
      </c>
      <c r="N21" s="24" t="s">
        <v>32</v>
      </c>
      <c r="O21" s="24" t="s">
        <v>32</v>
      </c>
      <c r="P21" s="24" t="s">
        <v>32</v>
      </c>
      <c r="Q21" s="24" t="s">
        <v>32</v>
      </c>
      <c r="R21" s="24" t="s">
        <v>32</v>
      </c>
    </row>
    <row r="22" spans="1:18" ht="20.100000000000001" customHeight="1" x14ac:dyDescent="0.25">
      <c r="A22" s="22"/>
      <c r="B22" s="24" t="s">
        <v>1199</v>
      </c>
      <c r="C22" s="24"/>
      <c r="D22" s="24" t="s">
        <v>1196</v>
      </c>
      <c r="E22" s="24" t="s">
        <v>352</v>
      </c>
      <c r="F22" s="24" t="s">
        <v>1200</v>
      </c>
      <c r="G22" s="22">
        <v>3</v>
      </c>
      <c r="H22" s="24" t="s">
        <v>32</v>
      </c>
      <c r="I22" s="24">
        <f t="shared" si="0"/>
        <v>447</v>
      </c>
      <c r="J22" s="24">
        <f t="shared" si="1"/>
        <v>149</v>
      </c>
      <c r="K22" s="42" t="s">
        <v>32</v>
      </c>
      <c r="L22" s="30" t="s">
        <v>1289</v>
      </c>
      <c r="M22" s="42" t="s">
        <v>32</v>
      </c>
      <c r="N22" s="24" t="s">
        <v>32</v>
      </c>
      <c r="O22" s="24" t="s">
        <v>32</v>
      </c>
      <c r="P22" s="24" t="s">
        <v>32</v>
      </c>
      <c r="Q22" s="24" t="s">
        <v>32</v>
      </c>
      <c r="R22" s="24" t="s">
        <v>32</v>
      </c>
    </row>
    <row r="23" spans="1:18" ht="20.100000000000001" customHeight="1" x14ac:dyDescent="0.25">
      <c r="A23" s="22"/>
      <c r="B23" s="24" t="s">
        <v>1201</v>
      </c>
      <c r="C23" s="24"/>
      <c r="D23" s="24" t="s">
        <v>1196</v>
      </c>
      <c r="E23" s="24" t="s">
        <v>1202</v>
      </c>
      <c r="F23" s="24" t="s">
        <v>1203</v>
      </c>
      <c r="G23" s="22">
        <v>3</v>
      </c>
      <c r="H23" s="24" t="s">
        <v>32</v>
      </c>
      <c r="I23" s="24">
        <f t="shared" si="0"/>
        <v>432</v>
      </c>
      <c r="J23" s="24">
        <f t="shared" si="1"/>
        <v>144</v>
      </c>
      <c r="K23" s="42" t="s">
        <v>32</v>
      </c>
      <c r="L23" s="42" t="s">
        <v>32</v>
      </c>
      <c r="M23" s="30" t="s">
        <v>1289</v>
      </c>
      <c r="N23" s="24" t="s">
        <v>32</v>
      </c>
      <c r="O23" s="24" t="s">
        <v>32</v>
      </c>
      <c r="P23" s="24" t="s">
        <v>32</v>
      </c>
      <c r="Q23" s="24" t="s">
        <v>32</v>
      </c>
      <c r="R23" s="24" t="s">
        <v>32</v>
      </c>
    </row>
    <row r="24" spans="1:18" ht="20.100000000000001" customHeight="1" x14ac:dyDescent="0.25">
      <c r="A24" s="21">
        <v>355</v>
      </c>
      <c r="B24" s="23" t="s">
        <v>1204</v>
      </c>
      <c r="C24" s="23"/>
      <c r="D24" s="23" t="s">
        <v>1205</v>
      </c>
      <c r="E24" s="23" t="s">
        <v>372</v>
      </c>
      <c r="F24" s="23" t="s">
        <v>1206</v>
      </c>
      <c r="G24" s="21">
        <v>3</v>
      </c>
      <c r="H24" s="23" t="s">
        <v>1207</v>
      </c>
      <c r="I24" s="23">
        <f t="shared" si="0"/>
        <v>909</v>
      </c>
      <c r="J24" s="23">
        <f t="shared" si="1"/>
        <v>303</v>
      </c>
      <c r="K24" s="3" t="s">
        <v>1289</v>
      </c>
      <c r="L24" s="41" t="s">
        <v>32</v>
      </c>
      <c r="M24" s="3" t="s">
        <v>1289</v>
      </c>
      <c r="N24" s="23" t="s">
        <v>32</v>
      </c>
      <c r="O24" s="23" t="s">
        <v>32</v>
      </c>
      <c r="P24" s="23" t="s">
        <v>32</v>
      </c>
      <c r="Q24" s="23" t="s">
        <v>32</v>
      </c>
      <c r="R24" s="23" t="s">
        <v>32</v>
      </c>
    </row>
    <row r="25" spans="1:18" ht="20.100000000000001" customHeight="1" x14ac:dyDescent="0.25">
      <c r="A25" s="21"/>
      <c r="B25" s="23" t="s">
        <v>1208</v>
      </c>
      <c r="C25" s="23"/>
      <c r="D25" s="23" t="s">
        <v>1205</v>
      </c>
      <c r="E25" s="23" t="s">
        <v>368</v>
      </c>
      <c r="F25" s="23" t="s">
        <v>1209</v>
      </c>
      <c r="G25" s="21">
        <v>3</v>
      </c>
      <c r="H25" s="23" t="s">
        <v>32</v>
      </c>
      <c r="I25" s="23">
        <f t="shared" si="0"/>
        <v>447</v>
      </c>
      <c r="J25" s="23">
        <f t="shared" si="1"/>
        <v>149</v>
      </c>
      <c r="K25" s="41" t="s">
        <v>32</v>
      </c>
      <c r="L25" s="3" t="s">
        <v>1289</v>
      </c>
      <c r="M25" s="41" t="s">
        <v>32</v>
      </c>
      <c r="N25" s="23" t="s">
        <v>32</v>
      </c>
      <c r="O25" s="23" t="s">
        <v>32</v>
      </c>
      <c r="P25" s="23" t="s">
        <v>32</v>
      </c>
      <c r="Q25" s="23" t="s">
        <v>32</v>
      </c>
      <c r="R25" s="23" t="s">
        <v>32</v>
      </c>
    </row>
    <row r="26" spans="1:18" ht="20.100000000000001" customHeight="1" x14ac:dyDescent="0.25">
      <c r="A26" s="51">
        <v>409</v>
      </c>
      <c r="B26" s="52" t="s">
        <v>1210</v>
      </c>
      <c r="C26" s="52"/>
      <c r="D26" s="52" t="s">
        <v>1211</v>
      </c>
      <c r="E26" s="52" t="s">
        <v>85</v>
      </c>
      <c r="F26" s="52" t="s">
        <v>1212</v>
      </c>
      <c r="G26" s="51">
        <v>1</v>
      </c>
      <c r="H26" s="52" t="s">
        <v>1213</v>
      </c>
      <c r="I26" s="52">
        <f t="shared" si="0"/>
        <v>159</v>
      </c>
      <c r="J26" s="52">
        <f t="shared" si="1"/>
        <v>159</v>
      </c>
      <c r="K26" s="45" t="s">
        <v>1289</v>
      </c>
      <c r="L26" s="53" t="s">
        <v>32</v>
      </c>
      <c r="M26" s="53" t="s">
        <v>32</v>
      </c>
      <c r="N26" s="24" t="s">
        <v>32</v>
      </c>
      <c r="O26" s="24" t="s">
        <v>32</v>
      </c>
      <c r="P26" s="24" t="s">
        <v>32</v>
      </c>
      <c r="Q26" s="24" t="s">
        <v>32</v>
      </c>
      <c r="R26" s="24" t="s">
        <v>32</v>
      </c>
    </row>
    <row r="27" spans="1:18" ht="20.100000000000001" customHeight="1" x14ac:dyDescent="0.25">
      <c r="A27" s="51"/>
      <c r="B27" s="52" t="s">
        <v>1214</v>
      </c>
      <c r="C27" s="52"/>
      <c r="D27" s="52" t="s">
        <v>1215</v>
      </c>
      <c r="E27" s="52" t="s">
        <v>81</v>
      </c>
      <c r="F27" s="52" t="s">
        <v>1216</v>
      </c>
      <c r="G27" s="51">
        <v>1</v>
      </c>
      <c r="H27" s="52" t="s">
        <v>32</v>
      </c>
      <c r="I27" s="52">
        <f t="shared" si="0"/>
        <v>0</v>
      </c>
      <c r="J27" s="52">
        <f t="shared" si="1"/>
        <v>0</v>
      </c>
      <c r="K27" s="53" t="s">
        <v>32</v>
      </c>
      <c r="L27" s="45"/>
      <c r="M27" s="53" t="s">
        <v>32</v>
      </c>
      <c r="N27" s="24" t="s">
        <v>32</v>
      </c>
      <c r="O27" s="24" t="s">
        <v>32</v>
      </c>
      <c r="P27" s="24" t="s">
        <v>32</v>
      </c>
      <c r="Q27" s="24" t="s">
        <v>32</v>
      </c>
      <c r="R27" s="24" t="s">
        <v>32</v>
      </c>
    </row>
    <row r="28" spans="1:18" ht="20.100000000000001" customHeight="1" x14ac:dyDescent="0.25">
      <c r="A28" s="51"/>
      <c r="B28" s="52" t="s">
        <v>1217</v>
      </c>
      <c r="C28" s="52"/>
      <c r="D28" s="52" t="s">
        <v>1218</v>
      </c>
      <c r="E28" s="52" t="s">
        <v>93</v>
      </c>
      <c r="F28" s="52" t="s">
        <v>1219</v>
      </c>
      <c r="G28" s="51">
        <v>1</v>
      </c>
      <c r="H28" s="52" t="s">
        <v>32</v>
      </c>
      <c r="I28" s="52">
        <f t="shared" si="0"/>
        <v>149</v>
      </c>
      <c r="J28" s="52">
        <f t="shared" si="1"/>
        <v>149</v>
      </c>
      <c r="K28" s="53" t="s">
        <v>32</v>
      </c>
      <c r="L28" s="45" t="s">
        <v>1289</v>
      </c>
      <c r="M28" s="45"/>
      <c r="N28" s="24" t="s">
        <v>32</v>
      </c>
      <c r="O28" s="24" t="s">
        <v>32</v>
      </c>
      <c r="P28" s="24" t="s">
        <v>32</v>
      </c>
      <c r="Q28" s="24" t="s">
        <v>32</v>
      </c>
      <c r="R28" s="24" t="s">
        <v>32</v>
      </c>
    </row>
    <row r="29" spans="1:18" ht="20.100000000000001" customHeight="1" x14ac:dyDescent="0.25">
      <c r="A29" s="51"/>
      <c r="B29" s="52" t="s">
        <v>1220</v>
      </c>
      <c r="C29" s="52"/>
      <c r="D29" s="52" t="s">
        <v>1221</v>
      </c>
      <c r="E29" s="52" t="s">
        <v>78</v>
      </c>
      <c r="F29" s="52" t="s">
        <v>1222</v>
      </c>
      <c r="G29" s="51">
        <v>1</v>
      </c>
      <c r="H29" s="52" t="s">
        <v>32</v>
      </c>
      <c r="I29" s="52">
        <f t="shared" si="0"/>
        <v>144</v>
      </c>
      <c r="J29" s="52">
        <f t="shared" si="1"/>
        <v>144</v>
      </c>
      <c r="K29" s="53" t="s">
        <v>32</v>
      </c>
      <c r="L29" s="53" t="s">
        <v>32</v>
      </c>
      <c r="M29" s="45" t="s">
        <v>1289</v>
      </c>
      <c r="N29" s="24" t="s">
        <v>32</v>
      </c>
      <c r="O29" s="24" t="s">
        <v>32</v>
      </c>
      <c r="P29" s="24" t="s">
        <v>32</v>
      </c>
      <c r="Q29" s="24" t="s">
        <v>32</v>
      </c>
      <c r="R29" s="24" t="s">
        <v>32</v>
      </c>
    </row>
    <row r="30" spans="1:18" ht="20.100000000000001" customHeight="1" x14ac:dyDescent="0.25">
      <c r="A30" s="21">
        <v>422</v>
      </c>
      <c r="B30" s="23" t="s">
        <v>420</v>
      </c>
      <c r="C30" s="23"/>
      <c r="D30" s="23" t="s">
        <v>421</v>
      </c>
      <c r="E30" s="23" t="s">
        <v>81</v>
      </c>
      <c r="F30" s="23" t="s">
        <v>422</v>
      </c>
      <c r="G30" s="21">
        <v>2</v>
      </c>
      <c r="H30" s="23" t="s">
        <v>1223</v>
      </c>
      <c r="I30" s="23">
        <f t="shared" si="0"/>
        <v>318</v>
      </c>
      <c r="J30" s="23">
        <f t="shared" si="1"/>
        <v>159</v>
      </c>
      <c r="K30" s="3" t="s">
        <v>1289</v>
      </c>
      <c r="L30" s="41" t="s">
        <v>32</v>
      </c>
      <c r="M30" s="41" t="s">
        <v>32</v>
      </c>
      <c r="N30" s="23" t="s">
        <v>32</v>
      </c>
      <c r="O30" s="23" t="s">
        <v>32</v>
      </c>
      <c r="P30" s="23" t="s">
        <v>32</v>
      </c>
      <c r="Q30" s="23" t="s">
        <v>32</v>
      </c>
      <c r="R30" s="23" t="s">
        <v>32</v>
      </c>
    </row>
    <row r="31" spans="1:18" ht="20.100000000000001" customHeight="1" x14ac:dyDescent="0.25">
      <c r="A31" s="21"/>
      <c r="B31" s="23" t="s">
        <v>424</v>
      </c>
      <c r="C31" s="23"/>
      <c r="D31" s="23" t="s">
        <v>425</v>
      </c>
      <c r="E31" s="23" t="s">
        <v>41</v>
      </c>
      <c r="F31" s="23" t="s">
        <v>426</v>
      </c>
      <c r="G31" s="21">
        <v>2</v>
      </c>
      <c r="H31" s="23" t="s">
        <v>32</v>
      </c>
      <c r="I31" s="23">
        <f t="shared" si="0"/>
        <v>298</v>
      </c>
      <c r="J31" s="23">
        <f t="shared" si="1"/>
        <v>149</v>
      </c>
      <c r="K31" s="41" t="s">
        <v>32</v>
      </c>
      <c r="L31" s="3" t="s">
        <v>1289</v>
      </c>
      <c r="M31" s="41" t="s">
        <v>32</v>
      </c>
      <c r="N31" s="23" t="s">
        <v>32</v>
      </c>
      <c r="O31" s="23" t="s">
        <v>32</v>
      </c>
      <c r="P31" s="23" t="s">
        <v>32</v>
      </c>
      <c r="Q31" s="23" t="s">
        <v>32</v>
      </c>
      <c r="R31" s="23" t="s">
        <v>32</v>
      </c>
    </row>
    <row r="32" spans="1:18" ht="20.100000000000001" customHeight="1" x14ac:dyDescent="0.25">
      <c r="A32" s="21"/>
      <c r="B32" s="23" t="s">
        <v>427</v>
      </c>
      <c r="C32" s="23"/>
      <c r="D32" s="23" t="s">
        <v>428</v>
      </c>
      <c r="E32" s="23" t="s">
        <v>429</v>
      </c>
      <c r="F32" s="23" t="s">
        <v>430</v>
      </c>
      <c r="G32" s="21">
        <v>2</v>
      </c>
      <c r="H32" s="23" t="s">
        <v>32</v>
      </c>
      <c r="I32" s="23">
        <f t="shared" si="0"/>
        <v>288</v>
      </c>
      <c r="J32" s="23">
        <f t="shared" si="1"/>
        <v>144</v>
      </c>
      <c r="K32" s="41" t="s">
        <v>32</v>
      </c>
      <c r="L32" s="41" t="s">
        <v>32</v>
      </c>
      <c r="M32" s="3" t="s">
        <v>1289</v>
      </c>
      <c r="N32" s="23" t="s">
        <v>32</v>
      </c>
      <c r="O32" s="23" t="s">
        <v>32</v>
      </c>
      <c r="P32" s="23" t="s">
        <v>32</v>
      </c>
      <c r="Q32" s="23" t="s">
        <v>32</v>
      </c>
      <c r="R32" s="23" t="s">
        <v>32</v>
      </c>
    </row>
    <row r="33" spans="1:18" ht="20.100000000000001" customHeight="1" x14ac:dyDescent="0.25">
      <c r="A33" s="22">
        <v>644</v>
      </c>
      <c r="B33" s="24" t="s">
        <v>1224</v>
      </c>
      <c r="C33" s="24"/>
      <c r="D33" s="24" t="s">
        <v>1225</v>
      </c>
      <c r="E33" s="24" t="s">
        <v>66</v>
      </c>
      <c r="F33" s="24" t="s">
        <v>1226</v>
      </c>
      <c r="G33" s="22">
        <v>1</v>
      </c>
      <c r="H33" s="26" t="s">
        <v>1307</v>
      </c>
      <c r="I33" s="24">
        <f t="shared" si="0"/>
        <v>159</v>
      </c>
      <c r="J33" s="24">
        <f t="shared" si="1"/>
        <v>159</v>
      </c>
      <c r="K33" s="30" t="s">
        <v>1289</v>
      </c>
      <c r="L33" s="42" t="s">
        <v>32</v>
      </c>
      <c r="M33" s="42" t="s">
        <v>32</v>
      </c>
      <c r="N33" s="24" t="s">
        <v>32</v>
      </c>
      <c r="O33" s="24" t="s">
        <v>32</v>
      </c>
      <c r="P33" s="24" t="s">
        <v>32</v>
      </c>
      <c r="Q33" s="24" t="s">
        <v>32</v>
      </c>
      <c r="R33" s="24" t="s">
        <v>32</v>
      </c>
    </row>
    <row r="34" spans="1:18" ht="20.100000000000001" customHeight="1" x14ac:dyDescent="0.25">
      <c r="A34" s="22"/>
      <c r="B34" s="24" t="s">
        <v>1227</v>
      </c>
      <c r="C34" s="24"/>
      <c r="D34" s="24" t="s">
        <v>1225</v>
      </c>
      <c r="E34" s="24" t="s">
        <v>529</v>
      </c>
      <c r="F34" s="24" t="s">
        <v>1228</v>
      </c>
      <c r="G34" s="22">
        <v>1</v>
      </c>
      <c r="H34" s="24" t="s">
        <v>32</v>
      </c>
      <c r="I34" s="24">
        <f t="shared" si="0"/>
        <v>144</v>
      </c>
      <c r="J34" s="24">
        <f t="shared" si="1"/>
        <v>144</v>
      </c>
      <c r="K34" s="42" t="s">
        <v>32</v>
      </c>
      <c r="L34" s="30"/>
      <c r="M34" s="30" t="s">
        <v>1289</v>
      </c>
      <c r="N34" s="24" t="s">
        <v>32</v>
      </c>
      <c r="O34" s="24" t="s">
        <v>32</v>
      </c>
      <c r="P34" s="24" t="s">
        <v>32</v>
      </c>
      <c r="Q34" s="24" t="s">
        <v>32</v>
      </c>
      <c r="R34" s="24" t="s">
        <v>32</v>
      </c>
    </row>
    <row r="35" spans="1:18" ht="20.100000000000001" customHeight="1" x14ac:dyDescent="0.25">
      <c r="A35" s="22"/>
      <c r="B35" s="24" t="s">
        <v>1229</v>
      </c>
      <c r="C35" s="24"/>
      <c r="D35" s="24" t="s">
        <v>1225</v>
      </c>
      <c r="E35" s="24" t="s">
        <v>525</v>
      </c>
      <c r="F35" s="24" t="s">
        <v>1230</v>
      </c>
      <c r="G35" s="22">
        <v>1</v>
      </c>
      <c r="H35" s="24" t="s">
        <v>32</v>
      </c>
      <c r="I35" s="24">
        <f t="shared" si="0"/>
        <v>149</v>
      </c>
      <c r="J35" s="24">
        <f t="shared" si="1"/>
        <v>149</v>
      </c>
      <c r="K35" s="42" t="s">
        <v>32</v>
      </c>
      <c r="L35" s="30" t="s">
        <v>1289</v>
      </c>
      <c r="M35" s="30"/>
      <c r="N35" s="24" t="s">
        <v>32</v>
      </c>
      <c r="O35" s="24" t="s">
        <v>32</v>
      </c>
      <c r="P35" s="24" t="s">
        <v>32</v>
      </c>
      <c r="Q35" s="24" t="s">
        <v>32</v>
      </c>
      <c r="R35" s="24" t="s">
        <v>32</v>
      </c>
    </row>
    <row r="36" spans="1:18" ht="20.100000000000001" customHeight="1" x14ac:dyDescent="0.25">
      <c r="A36" s="21">
        <v>645</v>
      </c>
      <c r="B36" s="23" t="s">
        <v>1231</v>
      </c>
      <c r="C36" s="23"/>
      <c r="D36" s="25" t="s">
        <v>1306</v>
      </c>
      <c r="E36" s="23" t="s">
        <v>266</v>
      </c>
      <c r="F36" s="23" t="s">
        <v>1232</v>
      </c>
      <c r="G36" s="21">
        <v>1</v>
      </c>
      <c r="H36" s="25" t="s">
        <v>1305</v>
      </c>
      <c r="I36" s="23">
        <f t="shared" si="0"/>
        <v>159</v>
      </c>
      <c r="J36" s="23">
        <f t="shared" si="1"/>
        <v>159</v>
      </c>
      <c r="K36" s="3" t="s">
        <v>1289</v>
      </c>
      <c r="L36" s="41" t="s">
        <v>32</v>
      </c>
      <c r="M36" s="41" t="s">
        <v>32</v>
      </c>
      <c r="N36" s="23" t="s">
        <v>32</v>
      </c>
      <c r="O36" s="23" t="s">
        <v>32</v>
      </c>
      <c r="P36" s="23" t="s">
        <v>32</v>
      </c>
      <c r="Q36" s="23" t="s">
        <v>32</v>
      </c>
      <c r="R36" s="23" t="s">
        <v>32</v>
      </c>
    </row>
    <row r="37" spans="1:18" ht="20.100000000000001" customHeight="1" x14ac:dyDescent="0.25">
      <c r="A37" s="21"/>
      <c r="B37" s="23" t="s">
        <v>1233</v>
      </c>
      <c r="C37" s="23"/>
      <c r="D37" s="23" t="s">
        <v>1234</v>
      </c>
      <c r="E37" s="23" t="s">
        <v>262</v>
      </c>
      <c r="F37" s="23" t="s">
        <v>1235</v>
      </c>
      <c r="G37" s="21">
        <v>1</v>
      </c>
      <c r="H37" s="23" t="s">
        <v>32</v>
      </c>
      <c r="I37" s="23">
        <f t="shared" si="0"/>
        <v>149</v>
      </c>
      <c r="J37" s="23">
        <f t="shared" si="1"/>
        <v>149</v>
      </c>
      <c r="K37" s="41" t="s">
        <v>32</v>
      </c>
      <c r="L37" s="3" t="s">
        <v>1289</v>
      </c>
      <c r="M37" s="41" t="s">
        <v>32</v>
      </c>
      <c r="N37" s="23" t="s">
        <v>32</v>
      </c>
      <c r="O37" s="23" t="s">
        <v>32</v>
      </c>
      <c r="P37" s="23" t="s">
        <v>32</v>
      </c>
      <c r="Q37" s="23" t="s">
        <v>32</v>
      </c>
      <c r="R37" s="23" t="s">
        <v>32</v>
      </c>
    </row>
    <row r="38" spans="1:18" ht="20.100000000000001" customHeight="1" x14ac:dyDescent="0.25">
      <c r="A38" s="21"/>
      <c r="B38" s="23" t="s">
        <v>1236</v>
      </c>
      <c r="C38" s="23"/>
      <c r="D38" s="23" t="s">
        <v>1237</v>
      </c>
      <c r="E38" s="23" t="s">
        <v>49</v>
      </c>
      <c r="F38" s="23" t="s">
        <v>1238</v>
      </c>
      <c r="G38" s="21">
        <v>1</v>
      </c>
      <c r="H38" s="23" t="s">
        <v>32</v>
      </c>
      <c r="I38" s="23">
        <f t="shared" ref="I38:I69" si="2">G38*J38</f>
        <v>144</v>
      </c>
      <c r="J38" s="23">
        <f t="shared" ref="J38:J69" si="3">IF(EXACT(K38,"V"),$K$5,0)+IF(EXACT(L38,"V"),$L$5,0)+IF(EXACT(M38,"V"),$M$5,0)+IF(EXACT(N38,"V"),$N$5,0)+IF(EXACT(O38,"V"),$O$5,0)+IF(EXACT(P38,"V"),$P$5,0)+IF(EXACT(Q38,"V"),$Q$5,0)</f>
        <v>144</v>
      </c>
      <c r="K38" s="41" t="s">
        <v>32</v>
      </c>
      <c r="L38" s="41" t="s">
        <v>32</v>
      </c>
      <c r="M38" s="3" t="s">
        <v>1289</v>
      </c>
      <c r="N38" s="23" t="s">
        <v>32</v>
      </c>
      <c r="O38" s="23" t="s">
        <v>32</v>
      </c>
      <c r="P38" s="23" t="s">
        <v>32</v>
      </c>
      <c r="Q38" s="23" t="s">
        <v>32</v>
      </c>
      <c r="R38" s="23" t="s">
        <v>32</v>
      </c>
    </row>
    <row r="39" spans="1:18" ht="20.100000000000001" customHeight="1" x14ac:dyDescent="0.25">
      <c r="A39" s="51">
        <v>651</v>
      </c>
      <c r="B39" s="52" t="s">
        <v>603</v>
      </c>
      <c r="C39" s="52"/>
      <c r="D39" s="52" t="s">
        <v>604</v>
      </c>
      <c r="E39" s="52" t="s">
        <v>85</v>
      </c>
      <c r="F39" s="52" t="s">
        <v>605</v>
      </c>
      <c r="G39" s="51">
        <v>2</v>
      </c>
      <c r="H39" s="52" t="s">
        <v>1239</v>
      </c>
      <c r="I39" s="52">
        <f t="shared" si="2"/>
        <v>318</v>
      </c>
      <c r="J39" s="52">
        <f t="shared" si="3"/>
        <v>159</v>
      </c>
      <c r="K39" s="45" t="s">
        <v>1289</v>
      </c>
      <c r="L39" s="53" t="s">
        <v>32</v>
      </c>
      <c r="M39" s="53" t="s">
        <v>32</v>
      </c>
      <c r="N39" s="24" t="s">
        <v>32</v>
      </c>
      <c r="O39" s="24" t="s">
        <v>32</v>
      </c>
      <c r="P39" s="24" t="s">
        <v>32</v>
      </c>
      <c r="Q39" s="24" t="s">
        <v>32</v>
      </c>
      <c r="R39" s="24" t="s">
        <v>32</v>
      </c>
    </row>
    <row r="40" spans="1:18" ht="20.100000000000001" customHeight="1" x14ac:dyDescent="0.25">
      <c r="A40" s="51"/>
      <c r="B40" s="52" t="s">
        <v>607</v>
      </c>
      <c r="C40" s="52"/>
      <c r="D40" s="52" t="s">
        <v>608</v>
      </c>
      <c r="E40" s="52" t="s">
        <v>81</v>
      </c>
      <c r="F40" s="52" t="s">
        <v>609</v>
      </c>
      <c r="G40" s="51">
        <v>2</v>
      </c>
      <c r="H40" s="52" t="s">
        <v>32</v>
      </c>
      <c r="I40" s="52">
        <f t="shared" si="2"/>
        <v>0</v>
      </c>
      <c r="J40" s="52">
        <f t="shared" si="3"/>
        <v>0</v>
      </c>
      <c r="K40" s="53" t="s">
        <v>32</v>
      </c>
      <c r="L40" s="45"/>
      <c r="M40" s="53" t="s">
        <v>32</v>
      </c>
      <c r="N40" s="24" t="s">
        <v>32</v>
      </c>
      <c r="O40" s="24" t="s">
        <v>32</v>
      </c>
      <c r="P40" s="24" t="s">
        <v>32</v>
      </c>
      <c r="Q40" s="24" t="s">
        <v>32</v>
      </c>
      <c r="R40" s="24" t="s">
        <v>32</v>
      </c>
    </row>
    <row r="41" spans="1:18" ht="20.100000000000001" customHeight="1" x14ac:dyDescent="0.25">
      <c r="A41" s="51"/>
      <c r="B41" s="52" t="s">
        <v>610</v>
      </c>
      <c r="C41" s="52"/>
      <c r="D41" s="52" t="s">
        <v>611</v>
      </c>
      <c r="E41" s="52" t="s">
        <v>612</v>
      </c>
      <c r="F41" s="52" t="s">
        <v>613</v>
      </c>
      <c r="G41" s="51">
        <v>2</v>
      </c>
      <c r="H41" s="52" t="s">
        <v>32</v>
      </c>
      <c r="I41" s="52">
        <f t="shared" si="2"/>
        <v>288</v>
      </c>
      <c r="J41" s="52">
        <f t="shared" si="3"/>
        <v>144</v>
      </c>
      <c r="K41" s="53" t="s">
        <v>32</v>
      </c>
      <c r="L41" s="53" t="s">
        <v>32</v>
      </c>
      <c r="M41" s="45" t="s">
        <v>1289</v>
      </c>
      <c r="N41" s="24" t="s">
        <v>32</v>
      </c>
      <c r="O41" s="24" t="s">
        <v>32</v>
      </c>
      <c r="P41" s="24" t="s">
        <v>32</v>
      </c>
      <c r="Q41" s="24" t="s">
        <v>32</v>
      </c>
      <c r="R41" s="24" t="s">
        <v>32</v>
      </c>
    </row>
    <row r="42" spans="1:18" ht="20.100000000000001" customHeight="1" x14ac:dyDescent="0.25">
      <c r="A42" s="51"/>
      <c r="B42" s="52" t="s">
        <v>614</v>
      </c>
      <c r="C42" s="52"/>
      <c r="D42" s="52" t="s">
        <v>615</v>
      </c>
      <c r="E42" s="52" t="s">
        <v>93</v>
      </c>
      <c r="F42" s="52" t="s">
        <v>616</v>
      </c>
      <c r="G42" s="51">
        <v>2</v>
      </c>
      <c r="H42" s="52" t="s">
        <v>32</v>
      </c>
      <c r="I42" s="52">
        <f t="shared" si="2"/>
        <v>298</v>
      </c>
      <c r="J42" s="52">
        <f t="shared" si="3"/>
        <v>149</v>
      </c>
      <c r="K42" s="53" t="s">
        <v>32</v>
      </c>
      <c r="L42" s="45" t="s">
        <v>1289</v>
      </c>
      <c r="M42" s="53" t="s">
        <v>32</v>
      </c>
      <c r="N42" s="24" t="s">
        <v>32</v>
      </c>
      <c r="O42" s="24" t="s">
        <v>32</v>
      </c>
      <c r="P42" s="24" t="s">
        <v>32</v>
      </c>
      <c r="Q42" s="24" t="s">
        <v>32</v>
      </c>
      <c r="R42" s="24" t="s">
        <v>32</v>
      </c>
    </row>
    <row r="43" spans="1:18" ht="20.100000000000001" customHeight="1" x14ac:dyDescent="0.25">
      <c r="A43" s="21">
        <v>868</v>
      </c>
      <c r="B43" s="23" t="s">
        <v>1240</v>
      </c>
      <c r="C43" s="23"/>
      <c r="D43" s="23" t="s">
        <v>1241</v>
      </c>
      <c r="E43" s="23" t="s">
        <v>372</v>
      </c>
      <c r="F43" s="23" t="s">
        <v>1242</v>
      </c>
      <c r="G43" s="21">
        <v>1</v>
      </c>
      <c r="H43" s="23" t="s">
        <v>1243</v>
      </c>
      <c r="I43" s="23">
        <f t="shared" si="2"/>
        <v>303</v>
      </c>
      <c r="J43" s="23">
        <f t="shared" si="3"/>
        <v>303</v>
      </c>
      <c r="K43" s="3" t="s">
        <v>1289</v>
      </c>
      <c r="L43" s="41" t="s">
        <v>32</v>
      </c>
      <c r="M43" s="3" t="s">
        <v>1289</v>
      </c>
      <c r="N43" s="23" t="s">
        <v>32</v>
      </c>
      <c r="O43" s="23" t="s">
        <v>32</v>
      </c>
      <c r="P43" s="23" t="s">
        <v>32</v>
      </c>
      <c r="Q43" s="23" t="s">
        <v>32</v>
      </c>
      <c r="R43" s="23" t="s">
        <v>32</v>
      </c>
    </row>
    <row r="44" spans="1:18" ht="20.100000000000001" customHeight="1" x14ac:dyDescent="0.25">
      <c r="A44" s="21"/>
      <c r="B44" s="23" t="s">
        <v>1244</v>
      </c>
      <c r="C44" s="23"/>
      <c r="D44" s="23" t="s">
        <v>1245</v>
      </c>
      <c r="E44" s="23" t="s">
        <v>199</v>
      </c>
      <c r="F44" s="23" t="s">
        <v>1246</v>
      </c>
      <c r="G44" s="21">
        <v>1</v>
      </c>
      <c r="H44" s="23" t="s">
        <v>32</v>
      </c>
      <c r="I44" s="23">
        <f t="shared" si="2"/>
        <v>149</v>
      </c>
      <c r="J44" s="23">
        <f t="shared" si="3"/>
        <v>149</v>
      </c>
      <c r="K44" s="41" t="s">
        <v>32</v>
      </c>
      <c r="L44" s="3" t="s">
        <v>1289</v>
      </c>
      <c r="M44" s="41" t="s">
        <v>32</v>
      </c>
      <c r="N44" s="23" t="s">
        <v>32</v>
      </c>
      <c r="O44" s="23" t="s">
        <v>32</v>
      </c>
      <c r="P44" s="23" t="s">
        <v>32</v>
      </c>
      <c r="Q44" s="23" t="s">
        <v>32</v>
      </c>
      <c r="R44" s="23" t="s">
        <v>32</v>
      </c>
    </row>
    <row r="45" spans="1:18" ht="20.100000000000001" customHeight="1" x14ac:dyDescent="0.25">
      <c r="A45" s="22">
        <v>899</v>
      </c>
      <c r="B45" s="24" t="s">
        <v>1247</v>
      </c>
      <c r="C45" s="24"/>
      <c r="D45" s="24" t="s">
        <v>1248</v>
      </c>
      <c r="E45" s="24" t="s">
        <v>139</v>
      </c>
      <c r="F45" s="24" t="s">
        <v>1249</v>
      </c>
      <c r="G45" s="22">
        <v>1</v>
      </c>
      <c r="H45" s="24" t="s">
        <v>1250</v>
      </c>
      <c r="I45" s="24">
        <f t="shared" si="2"/>
        <v>159</v>
      </c>
      <c r="J45" s="24">
        <f t="shared" si="3"/>
        <v>159</v>
      </c>
      <c r="K45" s="30" t="s">
        <v>1289</v>
      </c>
      <c r="L45" s="42" t="s">
        <v>32</v>
      </c>
      <c r="M45" s="30"/>
      <c r="N45" s="24" t="s">
        <v>32</v>
      </c>
      <c r="O45" s="24" t="s">
        <v>32</v>
      </c>
      <c r="P45" s="24" t="s">
        <v>32</v>
      </c>
      <c r="Q45" s="24" t="s">
        <v>32</v>
      </c>
      <c r="R45" s="24" t="s">
        <v>32</v>
      </c>
    </row>
    <row r="46" spans="1:18" ht="20.100000000000001" customHeight="1" x14ac:dyDescent="0.25">
      <c r="A46" s="22"/>
      <c r="B46" s="24" t="s">
        <v>1251</v>
      </c>
      <c r="C46" s="24"/>
      <c r="D46" s="24" t="s">
        <v>1252</v>
      </c>
      <c r="E46" s="24" t="s">
        <v>612</v>
      </c>
      <c r="F46" s="24" t="s">
        <v>1253</v>
      </c>
      <c r="G46" s="22">
        <v>1</v>
      </c>
      <c r="H46" s="24" t="s">
        <v>32</v>
      </c>
      <c r="I46" s="24">
        <f t="shared" si="2"/>
        <v>149</v>
      </c>
      <c r="J46" s="24">
        <f t="shared" si="3"/>
        <v>149</v>
      </c>
      <c r="K46" s="42" t="s">
        <v>32</v>
      </c>
      <c r="L46" s="30" t="s">
        <v>1289</v>
      </c>
      <c r="M46" s="42" t="s">
        <v>32</v>
      </c>
      <c r="N46" s="24" t="s">
        <v>32</v>
      </c>
      <c r="O46" s="24" t="s">
        <v>32</v>
      </c>
      <c r="P46" s="24" t="s">
        <v>32</v>
      </c>
      <c r="Q46" s="24" t="s">
        <v>32</v>
      </c>
      <c r="R46" s="24" t="s">
        <v>32</v>
      </c>
    </row>
    <row r="47" spans="1:18" ht="20.100000000000001" customHeight="1" x14ac:dyDescent="0.25">
      <c r="A47" s="22"/>
      <c r="B47" s="24" t="s">
        <v>1254</v>
      </c>
      <c r="C47" s="24"/>
      <c r="D47" s="24" t="s">
        <v>1255</v>
      </c>
      <c r="E47" s="24" t="s">
        <v>1256</v>
      </c>
      <c r="F47" s="24" t="s">
        <v>1257</v>
      </c>
      <c r="G47" s="22">
        <v>1</v>
      </c>
      <c r="H47" s="24" t="s">
        <v>32</v>
      </c>
      <c r="I47" s="24">
        <f t="shared" si="2"/>
        <v>144</v>
      </c>
      <c r="J47" s="24">
        <f t="shared" si="3"/>
        <v>144</v>
      </c>
      <c r="K47" s="42" t="s">
        <v>32</v>
      </c>
      <c r="L47" s="42" t="s">
        <v>32</v>
      </c>
      <c r="M47" s="30" t="s">
        <v>1289</v>
      </c>
      <c r="N47" s="24" t="s">
        <v>32</v>
      </c>
      <c r="O47" s="24" t="s">
        <v>32</v>
      </c>
      <c r="P47" s="24" t="s">
        <v>32</v>
      </c>
      <c r="Q47" s="24" t="s">
        <v>32</v>
      </c>
      <c r="R47" s="24" t="s">
        <v>32</v>
      </c>
    </row>
    <row r="48" spans="1:18" ht="20.100000000000001" customHeight="1" x14ac:dyDescent="0.25">
      <c r="A48" s="21">
        <v>1030</v>
      </c>
      <c r="B48" s="23" t="s">
        <v>777</v>
      </c>
      <c r="C48" s="23"/>
      <c r="D48" s="23" t="s">
        <v>773</v>
      </c>
      <c r="E48" s="23" t="s">
        <v>93</v>
      </c>
      <c r="F48" s="23" t="s">
        <v>778</v>
      </c>
      <c r="G48" s="21">
        <v>1</v>
      </c>
      <c r="H48" s="23" t="s">
        <v>1258</v>
      </c>
      <c r="I48" s="23">
        <f t="shared" si="2"/>
        <v>159</v>
      </c>
      <c r="J48" s="23">
        <f t="shared" si="3"/>
        <v>159</v>
      </c>
      <c r="K48" s="3" t="s">
        <v>1289</v>
      </c>
      <c r="L48" s="41" t="s">
        <v>32</v>
      </c>
      <c r="M48" s="41" t="s">
        <v>32</v>
      </c>
      <c r="N48" s="23" t="s">
        <v>32</v>
      </c>
      <c r="O48" s="23" t="s">
        <v>32</v>
      </c>
      <c r="P48" s="23" t="s">
        <v>32</v>
      </c>
      <c r="Q48" s="23" t="s">
        <v>32</v>
      </c>
      <c r="R48" s="23" t="s">
        <v>32</v>
      </c>
    </row>
    <row r="49" spans="1:18" ht="20.100000000000001" customHeight="1" x14ac:dyDescent="0.25">
      <c r="A49" s="21"/>
      <c r="B49" s="23" t="s">
        <v>780</v>
      </c>
      <c r="C49" s="23"/>
      <c r="D49" s="23" t="s">
        <v>773</v>
      </c>
      <c r="E49" s="23" t="s">
        <v>146</v>
      </c>
      <c r="F49" s="23" t="s">
        <v>781</v>
      </c>
      <c r="G49" s="21">
        <v>1</v>
      </c>
      <c r="H49" s="23" t="s">
        <v>32</v>
      </c>
      <c r="I49" s="23">
        <f t="shared" si="2"/>
        <v>149</v>
      </c>
      <c r="J49" s="23">
        <f t="shared" si="3"/>
        <v>149</v>
      </c>
      <c r="K49" s="41" t="s">
        <v>32</v>
      </c>
      <c r="L49" s="3" t="s">
        <v>1289</v>
      </c>
      <c r="M49" s="41" t="s">
        <v>32</v>
      </c>
      <c r="N49" s="23" t="s">
        <v>32</v>
      </c>
      <c r="O49" s="23" t="s">
        <v>32</v>
      </c>
      <c r="P49" s="23" t="s">
        <v>32</v>
      </c>
      <c r="Q49" s="23" t="s">
        <v>32</v>
      </c>
      <c r="R49" s="23" t="s">
        <v>32</v>
      </c>
    </row>
    <row r="50" spans="1:18" ht="20.100000000000001" customHeight="1" x14ac:dyDescent="0.25">
      <c r="A50" s="21"/>
      <c r="B50" s="23" t="s">
        <v>782</v>
      </c>
      <c r="C50" s="23"/>
      <c r="D50" s="23" t="s">
        <v>783</v>
      </c>
      <c r="E50" s="23" t="s">
        <v>784</v>
      </c>
      <c r="F50" s="23" t="s">
        <v>785</v>
      </c>
      <c r="G50" s="21">
        <v>1</v>
      </c>
      <c r="H50" s="23" t="s">
        <v>32</v>
      </c>
      <c r="I50" s="23">
        <f t="shared" si="2"/>
        <v>144</v>
      </c>
      <c r="J50" s="23">
        <f t="shared" si="3"/>
        <v>144</v>
      </c>
      <c r="K50" s="41" t="s">
        <v>32</v>
      </c>
      <c r="L50" s="41" t="s">
        <v>32</v>
      </c>
      <c r="M50" s="3" t="s">
        <v>1289</v>
      </c>
      <c r="N50" s="23" t="s">
        <v>32</v>
      </c>
      <c r="O50" s="23" t="s">
        <v>32</v>
      </c>
      <c r="P50" s="23" t="s">
        <v>32</v>
      </c>
      <c r="Q50" s="23" t="s">
        <v>32</v>
      </c>
      <c r="R50" s="23" t="s">
        <v>32</v>
      </c>
    </row>
    <row r="51" spans="1:18" ht="20.100000000000001" customHeight="1" x14ac:dyDescent="0.25">
      <c r="A51" s="22">
        <v>1037</v>
      </c>
      <c r="B51" s="24" t="s">
        <v>796</v>
      </c>
      <c r="C51" s="24"/>
      <c r="D51" s="24" t="s">
        <v>797</v>
      </c>
      <c r="E51" s="24" t="s">
        <v>619</v>
      </c>
      <c r="F51" s="24" t="s">
        <v>798</v>
      </c>
      <c r="G51" s="22">
        <v>1</v>
      </c>
      <c r="H51" s="24" t="s">
        <v>1259</v>
      </c>
      <c r="I51" s="24">
        <f t="shared" si="2"/>
        <v>159</v>
      </c>
      <c r="J51" s="24">
        <f t="shared" si="3"/>
        <v>159</v>
      </c>
      <c r="K51" s="30" t="s">
        <v>1289</v>
      </c>
      <c r="L51" s="42" t="s">
        <v>32</v>
      </c>
      <c r="M51" s="42" t="s">
        <v>32</v>
      </c>
      <c r="N51" s="24" t="s">
        <v>32</v>
      </c>
      <c r="O51" s="24" t="s">
        <v>32</v>
      </c>
      <c r="P51" s="24" t="s">
        <v>32</v>
      </c>
      <c r="Q51" s="24" t="s">
        <v>32</v>
      </c>
      <c r="R51" s="24" t="s">
        <v>32</v>
      </c>
    </row>
    <row r="52" spans="1:18" ht="20.100000000000001" customHeight="1" x14ac:dyDescent="0.25">
      <c r="A52" s="22"/>
      <c r="B52" s="24" t="s">
        <v>800</v>
      </c>
      <c r="C52" s="24"/>
      <c r="D52" s="24" t="s">
        <v>801</v>
      </c>
      <c r="E52" s="24" t="s">
        <v>78</v>
      </c>
      <c r="F52" s="24" t="s">
        <v>802</v>
      </c>
      <c r="G52" s="22">
        <v>1</v>
      </c>
      <c r="H52" s="24" t="s">
        <v>32</v>
      </c>
      <c r="I52" s="24">
        <f t="shared" si="2"/>
        <v>149</v>
      </c>
      <c r="J52" s="24">
        <f t="shared" si="3"/>
        <v>149</v>
      </c>
      <c r="K52" s="42" t="s">
        <v>32</v>
      </c>
      <c r="L52" s="30" t="s">
        <v>1289</v>
      </c>
      <c r="M52" s="42" t="s">
        <v>32</v>
      </c>
      <c r="N52" s="24" t="s">
        <v>32</v>
      </c>
      <c r="O52" s="24" t="s">
        <v>32</v>
      </c>
      <c r="P52" s="24" t="s">
        <v>32</v>
      </c>
      <c r="Q52" s="24" t="s">
        <v>32</v>
      </c>
      <c r="R52" s="24" t="s">
        <v>32</v>
      </c>
    </row>
    <row r="53" spans="1:18" ht="20.100000000000001" customHeight="1" x14ac:dyDescent="0.25">
      <c r="A53" s="22"/>
      <c r="B53" s="24" t="s">
        <v>803</v>
      </c>
      <c r="C53" s="24"/>
      <c r="D53" s="24" t="s">
        <v>804</v>
      </c>
      <c r="E53" s="24" t="s">
        <v>805</v>
      </c>
      <c r="F53" s="24" t="s">
        <v>806</v>
      </c>
      <c r="G53" s="22">
        <v>1</v>
      </c>
      <c r="H53" s="24" t="s">
        <v>32</v>
      </c>
      <c r="I53" s="24">
        <f t="shared" si="2"/>
        <v>144</v>
      </c>
      <c r="J53" s="24">
        <f t="shared" si="3"/>
        <v>144</v>
      </c>
      <c r="K53" s="42" t="s">
        <v>32</v>
      </c>
      <c r="L53" s="42" t="s">
        <v>32</v>
      </c>
      <c r="M53" s="30" t="s">
        <v>1289</v>
      </c>
      <c r="N53" s="24" t="s">
        <v>32</v>
      </c>
      <c r="O53" s="24" t="s">
        <v>32</v>
      </c>
      <c r="P53" s="24" t="s">
        <v>32</v>
      </c>
      <c r="Q53" s="24" t="s">
        <v>32</v>
      </c>
      <c r="R53" s="24" t="s">
        <v>32</v>
      </c>
    </row>
    <row r="54" spans="1:18" ht="20.100000000000001" customHeight="1" x14ac:dyDescent="0.25">
      <c r="A54" s="21">
        <v>1039</v>
      </c>
      <c r="B54" s="23" t="s">
        <v>807</v>
      </c>
      <c r="C54" s="23"/>
      <c r="D54" s="23" t="s">
        <v>808</v>
      </c>
      <c r="E54" s="23" t="s">
        <v>58</v>
      </c>
      <c r="F54" s="23" t="s">
        <v>809</v>
      </c>
      <c r="G54" s="21">
        <v>4</v>
      </c>
      <c r="H54" s="23" t="s">
        <v>1260</v>
      </c>
      <c r="I54" s="23">
        <f t="shared" si="2"/>
        <v>636</v>
      </c>
      <c r="J54" s="23">
        <f t="shared" si="3"/>
        <v>159</v>
      </c>
      <c r="K54" s="3" t="s">
        <v>1289</v>
      </c>
      <c r="L54" s="41" t="s">
        <v>32</v>
      </c>
      <c r="M54" s="41" t="s">
        <v>32</v>
      </c>
      <c r="N54" s="23" t="s">
        <v>32</v>
      </c>
      <c r="O54" s="23" t="s">
        <v>32</v>
      </c>
      <c r="P54" s="23" t="s">
        <v>32</v>
      </c>
      <c r="Q54" s="23" t="s">
        <v>32</v>
      </c>
      <c r="R54" s="23" t="s">
        <v>32</v>
      </c>
    </row>
    <row r="55" spans="1:18" ht="20.100000000000001" customHeight="1" x14ac:dyDescent="0.25">
      <c r="A55" s="21"/>
      <c r="B55" s="23" t="s">
        <v>811</v>
      </c>
      <c r="C55" s="23"/>
      <c r="D55" s="23" t="s">
        <v>812</v>
      </c>
      <c r="E55" s="23" t="s">
        <v>813</v>
      </c>
      <c r="F55" s="23" t="s">
        <v>814</v>
      </c>
      <c r="G55" s="21">
        <v>4</v>
      </c>
      <c r="H55" s="23" t="s">
        <v>32</v>
      </c>
      <c r="I55" s="23">
        <f t="shared" si="2"/>
        <v>596</v>
      </c>
      <c r="J55" s="23">
        <f t="shared" si="3"/>
        <v>149</v>
      </c>
      <c r="K55" s="41" t="s">
        <v>32</v>
      </c>
      <c r="L55" s="3" t="s">
        <v>1289</v>
      </c>
      <c r="M55" s="41" t="s">
        <v>32</v>
      </c>
      <c r="N55" s="23" t="s">
        <v>32</v>
      </c>
      <c r="O55" s="23" t="s">
        <v>32</v>
      </c>
      <c r="P55" s="23" t="s">
        <v>32</v>
      </c>
      <c r="Q55" s="23" t="s">
        <v>32</v>
      </c>
      <c r="R55" s="23" t="s">
        <v>32</v>
      </c>
    </row>
    <row r="56" spans="1:18" ht="20.100000000000001" customHeight="1" x14ac:dyDescent="0.25">
      <c r="A56" s="21"/>
      <c r="B56" s="23" t="s">
        <v>815</v>
      </c>
      <c r="C56" s="23"/>
      <c r="D56" s="23" t="s">
        <v>816</v>
      </c>
      <c r="E56" s="23" t="s">
        <v>266</v>
      </c>
      <c r="F56" s="23" t="s">
        <v>817</v>
      </c>
      <c r="G56" s="21">
        <v>4</v>
      </c>
      <c r="H56" s="23" t="s">
        <v>32</v>
      </c>
      <c r="I56" s="23">
        <f t="shared" si="2"/>
        <v>576</v>
      </c>
      <c r="J56" s="23">
        <f t="shared" si="3"/>
        <v>144</v>
      </c>
      <c r="K56" s="41" t="s">
        <v>32</v>
      </c>
      <c r="L56" s="41" t="s">
        <v>32</v>
      </c>
      <c r="M56" s="3" t="s">
        <v>1289</v>
      </c>
      <c r="N56" s="23" t="s">
        <v>32</v>
      </c>
      <c r="O56" s="23" t="s">
        <v>32</v>
      </c>
      <c r="P56" s="23" t="s">
        <v>32</v>
      </c>
      <c r="Q56" s="23" t="s">
        <v>32</v>
      </c>
      <c r="R56" s="23" t="s">
        <v>32</v>
      </c>
    </row>
    <row r="57" spans="1:18" ht="20.100000000000001" customHeight="1" x14ac:dyDescent="0.25">
      <c r="A57" s="22">
        <v>1109</v>
      </c>
      <c r="B57" s="24" t="s">
        <v>829</v>
      </c>
      <c r="C57" s="24"/>
      <c r="D57" s="24" t="s">
        <v>830</v>
      </c>
      <c r="E57" s="24" t="s">
        <v>81</v>
      </c>
      <c r="F57" s="24" t="s">
        <v>831</v>
      </c>
      <c r="G57" s="22">
        <v>1</v>
      </c>
      <c r="H57" s="24" t="s">
        <v>1261</v>
      </c>
      <c r="I57" s="24">
        <f t="shared" si="2"/>
        <v>159</v>
      </c>
      <c r="J57" s="24">
        <f t="shared" si="3"/>
        <v>159</v>
      </c>
      <c r="K57" s="30" t="s">
        <v>1289</v>
      </c>
      <c r="L57" s="42" t="s">
        <v>32</v>
      </c>
      <c r="M57" s="42" t="s">
        <v>32</v>
      </c>
      <c r="N57" s="24" t="s">
        <v>32</v>
      </c>
      <c r="O57" s="24" t="s">
        <v>32</v>
      </c>
      <c r="P57" s="24" t="s">
        <v>32</v>
      </c>
      <c r="Q57" s="24" t="s">
        <v>32</v>
      </c>
      <c r="R57" s="24" t="s">
        <v>32</v>
      </c>
    </row>
    <row r="58" spans="1:18" ht="20.100000000000001" customHeight="1" x14ac:dyDescent="0.25">
      <c r="A58" s="22"/>
      <c r="B58" s="24" t="s">
        <v>833</v>
      </c>
      <c r="C58" s="24"/>
      <c r="D58" s="24" t="s">
        <v>834</v>
      </c>
      <c r="E58" s="24" t="s">
        <v>230</v>
      </c>
      <c r="F58" s="24" t="s">
        <v>835</v>
      </c>
      <c r="G58" s="22">
        <v>1</v>
      </c>
      <c r="H58" s="24" t="s">
        <v>32</v>
      </c>
      <c r="I58" s="24">
        <f t="shared" si="2"/>
        <v>149</v>
      </c>
      <c r="J58" s="24">
        <f t="shared" si="3"/>
        <v>149</v>
      </c>
      <c r="K58" s="42" t="s">
        <v>32</v>
      </c>
      <c r="L58" s="30" t="s">
        <v>1289</v>
      </c>
      <c r="M58" s="42" t="s">
        <v>32</v>
      </c>
      <c r="N58" s="24" t="s">
        <v>32</v>
      </c>
      <c r="O58" s="24" t="s">
        <v>32</v>
      </c>
      <c r="P58" s="24" t="s">
        <v>32</v>
      </c>
      <c r="Q58" s="24" t="s">
        <v>32</v>
      </c>
      <c r="R58" s="24" t="s">
        <v>32</v>
      </c>
    </row>
    <row r="59" spans="1:18" ht="20.100000000000001" customHeight="1" x14ac:dyDescent="0.25">
      <c r="A59" s="22"/>
      <c r="B59" s="24" t="s">
        <v>836</v>
      </c>
      <c r="C59" s="24"/>
      <c r="D59" s="24" t="s">
        <v>837</v>
      </c>
      <c r="E59" s="24" t="s">
        <v>320</v>
      </c>
      <c r="F59" s="24" t="s">
        <v>838</v>
      </c>
      <c r="G59" s="22">
        <v>1</v>
      </c>
      <c r="H59" s="24" t="s">
        <v>32</v>
      </c>
      <c r="I59" s="24">
        <f t="shared" si="2"/>
        <v>144</v>
      </c>
      <c r="J59" s="24">
        <f t="shared" si="3"/>
        <v>144</v>
      </c>
      <c r="K59" s="42" t="s">
        <v>32</v>
      </c>
      <c r="L59" s="42" t="s">
        <v>32</v>
      </c>
      <c r="M59" s="30" t="s">
        <v>1289</v>
      </c>
      <c r="N59" s="24" t="s">
        <v>32</v>
      </c>
      <c r="O59" s="24" t="s">
        <v>32</v>
      </c>
      <c r="P59" s="24" t="s">
        <v>32</v>
      </c>
      <c r="Q59" s="24" t="s">
        <v>32</v>
      </c>
      <c r="R59" s="24" t="s">
        <v>32</v>
      </c>
    </row>
    <row r="60" spans="1:18" ht="20.100000000000001" customHeight="1" x14ac:dyDescent="0.25">
      <c r="A60" s="21">
        <v>1159</v>
      </c>
      <c r="B60" s="23" t="s">
        <v>1262</v>
      </c>
      <c r="C60" s="23"/>
      <c r="D60" s="23" t="s">
        <v>1263</v>
      </c>
      <c r="E60" s="23" t="s">
        <v>882</v>
      </c>
      <c r="F60" s="23" t="s">
        <v>1264</v>
      </c>
      <c r="G60" s="21">
        <v>1</v>
      </c>
      <c r="H60" s="23" t="s">
        <v>1265</v>
      </c>
      <c r="I60" s="23">
        <f t="shared" si="2"/>
        <v>452</v>
      </c>
      <c r="J60" s="23">
        <f t="shared" si="3"/>
        <v>452</v>
      </c>
      <c r="K60" s="3" t="s">
        <v>1289</v>
      </c>
      <c r="L60" s="3" t="s">
        <v>1289</v>
      </c>
      <c r="M60" s="3" t="s">
        <v>1289</v>
      </c>
      <c r="N60" s="23" t="s">
        <v>32</v>
      </c>
      <c r="O60" s="23" t="s">
        <v>32</v>
      </c>
      <c r="P60" s="23" t="s">
        <v>32</v>
      </c>
      <c r="Q60" s="23" t="s">
        <v>32</v>
      </c>
      <c r="R60" s="23" t="s">
        <v>32</v>
      </c>
    </row>
    <row r="61" spans="1:18" ht="20.100000000000001" customHeight="1" x14ac:dyDescent="0.25">
      <c r="A61" s="22">
        <v>1169</v>
      </c>
      <c r="B61" s="24" t="s">
        <v>916</v>
      </c>
      <c r="C61" s="24"/>
      <c r="D61" s="24" t="s">
        <v>917</v>
      </c>
      <c r="E61" s="24" t="s">
        <v>36</v>
      </c>
      <c r="F61" s="24" t="s">
        <v>918</v>
      </c>
      <c r="G61" s="22">
        <v>4</v>
      </c>
      <c r="H61" s="24" t="s">
        <v>1266</v>
      </c>
      <c r="I61" s="24">
        <f t="shared" si="2"/>
        <v>1212</v>
      </c>
      <c r="J61" s="24">
        <f t="shared" si="3"/>
        <v>303</v>
      </c>
      <c r="K61" s="30" t="s">
        <v>1289</v>
      </c>
      <c r="L61" s="42" t="s">
        <v>32</v>
      </c>
      <c r="M61" s="30" t="s">
        <v>1289</v>
      </c>
      <c r="N61" s="24" t="s">
        <v>32</v>
      </c>
      <c r="O61" s="24" t="s">
        <v>32</v>
      </c>
      <c r="P61" s="24" t="s">
        <v>32</v>
      </c>
      <c r="Q61" s="24" t="s">
        <v>32</v>
      </c>
      <c r="R61" s="24" t="s">
        <v>32</v>
      </c>
    </row>
    <row r="62" spans="1:18" ht="20.100000000000001" customHeight="1" x14ac:dyDescent="0.25">
      <c r="A62" s="22"/>
      <c r="B62" s="24" t="s">
        <v>920</v>
      </c>
      <c r="C62" s="24"/>
      <c r="D62" s="24" t="s">
        <v>921</v>
      </c>
      <c r="E62" s="24" t="s">
        <v>45</v>
      </c>
      <c r="F62" s="24" t="s">
        <v>922</v>
      </c>
      <c r="G62" s="22">
        <v>4</v>
      </c>
      <c r="H62" s="24" t="s">
        <v>32</v>
      </c>
      <c r="I62" s="24">
        <f t="shared" si="2"/>
        <v>596</v>
      </c>
      <c r="J62" s="24">
        <f t="shared" si="3"/>
        <v>149</v>
      </c>
      <c r="K62" s="42" t="s">
        <v>32</v>
      </c>
      <c r="L62" s="30" t="s">
        <v>1289</v>
      </c>
      <c r="M62" s="42" t="s">
        <v>32</v>
      </c>
      <c r="N62" s="24" t="s">
        <v>32</v>
      </c>
      <c r="O62" s="24" t="s">
        <v>32</v>
      </c>
      <c r="P62" s="24" t="s">
        <v>32</v>
      </c>
      <c r="Q62" s="24" t="s">
        <v>32</v>
      </c>
      <c r="R62" s="24" t="s">
        <v>32</v>
      </c>
    </row>
    <row r="63" spans="1:18" ht="20.100000000000001" customHeight="1" x14ac:dyDescent="0.25">
      <c r="A63" s="21">
        <v>1250</v>
      </c>
      <c r="B63" s="23" t="s">
        <v>1267</v>
      </c>
      <c r="C63" s="23"/>
      <c r="D63" s="23" t="s">
        <v>1268</v>
      </c>
      <c r="E63" s="23" t="s">
        <v>372</v>
      </c>
      <c r="F63" s="23" t="s">
        <v>1269</v>
      </c>
      <c r="G63" s="21">
        <v>1</v>
      </c>
      <c r="H63" s="23" t="s">
        <v>1270</v>
      </c>
      <c r="I63" s="23">
        <f t="shared" si="2"/>
        <v>303</v>
      </c>
      <c r="J63" s="23">
        <f t="shared" si="3"/>
        <v>303</v>
      </c>
      <c r="K63" s="3" t="s">
        <v>1289</v>
      </c>
      <c r="L63" s="41" t="s">
        <v>32</v>
      </c>
      <c r="M63" s="3" t="s">
        <v>1289</v>
      </c>
      <c r="N63" s="23" t="s">
        <v>32</v>
      </c>
      <c r="O63" s="23" t="s">
        <v>32</v>
      </c>
      <c r="P63" s="23" t="s">
        <v>32</v>
      </c>
      <c r="Q63" s="23" t="s">
        <v>32</v>
      </c>
      <c r="R63" s="23" t="s">
        <v>32</v>
      </c>
    </row>
    <row r="64" spans="1:18" ht="20.100000000000001" customHeight="1" x14ac:dyDescent="0.25">
      <c r="A64" s="21"/>
      <c r="B64" s="23" t="s">
        <v>1271</v>
      </c>
      <c r="C64" s="23"/>
      <c r="D64" s="23" t="s">
        <v>1268</v>
      </c>
      <c r="E64" s="23" t="s">
        <v>364</v>
      </c>
      <c r="F64" s="23" t="s">
        <v>1272</v>
      </c>
      <c r="G64" s="21">
        <v>1</v>
      </c>
      <c r="H64" s="23" t="s">
        <v>32</v>
      </c>
      <c r="I64" s="23">
        <f t="shared" si="2"/>
        <v>149</v>
      </c>
      <c r="J64" s="23">
        <f t="shared" si="3"/>
        <v>149</v>
      </c>
      <c r="K64" s="41" t="s">
        <v>32</v>
      </c>
      <c r="L64" s="3" t="s">
        <v>1289</v>
      </c>
      <c r="M64" s="41" t="s">
        <v>32</v>
      </c>
      <c r="N64" s="23" t="s">
        <v>32</v>
      </c>
      <c r="O64" s="23" t="s">
        <v>32</v>
      </c>
      <c r="P64" s="23" t="s">
        <v>32</v>
      </c>
      <c r="Q64" s="23" t="s">
        <v>32</v>
      </c>
      <c r="R64" s="23" t="s">
        <v>32</v>
      </c>
    </row>
    <row r="65" spans="1:18" ht="20.100000000000001" customHeight="1" x14ac:dyDescent="0.25">
      <c r="A65" s="22">
        <v>1251</v>
      </c>
      <c r="B65" s="24" t="s">
        <v>1273</v>
      </c>
      <c r="C65" s="24"/>
      <c r="D65" s="24" t="s">
        <v>1268</v>
      </c>
      <c r="E65" s="24" t="s">
        <v>372</v>
      </c>
      <c r="F65" s="24" t="s">
        <v>1274</v>
      </c>
      <c r="G65" s="22">
        <v>1</v>
      </c>
      <c r="H65" s="24" t="s">
        <v>1275</v>
      </c>
      <c r="I65" s="24">
        <f t="shared" si="2"/>
        <v>303</v>
      </c>
      <c r="J65" s="24">
        <f t="shared" si="3"/>
        <v>303</v>
      </c>
      <c r="K65" s="30" t="s">
        <v>1289</v>
      </c>
      <c r="L65" s="42" t="s">
        <v>32</v>
      </c>
      <c r="M65" s="30" t="s">
        <v>1289</v>
      </c>
      <c r="N65" s="24" t="s">
        <v>32</v>
      </c>
      <c r="O65" s="24" t="s">
        <v>32</v>
      </c>
      <c r="P65" s="24" t="s">
        <v>32</v>
      </c>
      <c r="Q65" s="24" t="s">
        <v>32</v>
      </c>
      <c r="R65" s="24" t="s">
        <v>32</v>
      </c>
    </row>
    <row r="66" spans="1:18" ht="20.100000000000001" customHeight="1" x14ac:dyDescent="0.25">
      <c r="A66" s="22"/>
      <c r="B66" s="24" t="s">
        <v>1276</v>
      </c>
      <c r="C66" s="24"/>
      <c r="D66" s="24" t="s">
        <v>1268</v>
      </c>
      <c r="E66" s="24" t="s">
        <v>364</v>
      </c>
      <c r="F66" s="24" t="s">
        <v>1277</v>
      </c>
      <c r="G66" s="22">
        <v>1</v>
      </c>
      <c r="H66" s="24" t="s">
        <v>32</v>
      </c>
      <c r="I66" s="24">
        <f t="shared" si="2"/>
        <v>149</v>
      </c>
      <c r="J66" s="24">
        <f t="shared" si="3"/>
        <v>149</v>
      </c>
      <c r="K66" s="42" t="s">
        <v>32</v>
      </c>
      <c r="L66" s="30" t="s">
        <v>1289</v>
      </c>
      <c r="M66" s="42" t="s">
        <v>32</v>
      </c>
      <c r="N66" s="24" t="s">
        <v>32</v>
      </c>
      <c r="O66" s="24" t="s">
        <v>32</v>
      </c>
      <c r="P66" s="24" t="s">
        <v>32</v>
      </c>
      <c r="Q66" s="24" t="s">
        <v>32</v>
      </c>
      <c r="R66" s="24" t="s">
        <v>32</v>
      </c>
    </row>
    <row r="67" spans="1:18" ht="20.100000000000001" customHeight="1" x14ac:dyDescent="0.25">
      <c r="A67" s="21">
        <v>1298</v>
      </c>
      <c r="B67" s="23" t="s">
        <v>1278</v>
      </c>
      <c r="C67" s="23"/>
      <c r="D67" s="23" t="s">
        <v>1279</v>
      </c>
      <c r="E67" s="23" t="s">
        <v>947</v>
      </c>
      <c r="F67" s="23" t="s">
        <v>1280</v>
      </c>
      <c r="G67" s="21">
        <v>1</v>
      </c>
      <c r="H67" s="23" t="s">
        <v>1281</v>
      </c>
      <c r="I67" s="23">
        <f t="shared" si="2"/>
        <v>159</v>
      </c>
      <c r="J67" s="23">
        <f t="shared" si="3"/>
        <v>159</v>
      </c>
      <c r="K67" s="3" t="s">
        <v>1289</v>
      </c>
      <c r="L67" s="41" t="s">
        <v>32</v>
      </c>
      <c r="M67" s="41" t="s">
        <v>32</v>
      </c>
      <c r="N67" s="23" t="s">
        <v>32</v>
      </c>
      <c r="O67" s="23" t="s">
        <v>32</v>
      </c>
      <c r="P67" s="23" t="s">
        <v>32</v>
      </c>
      <c r="Q67" s="23" t="s">
        <v>32</v>
      </c>
      <c r="R67" s="23" t="s">
        <v>32</v>
      </c>
    </row>
    <row r="68" spans="1:18" ht="20.100000000000001" customHeight="1" x14ac:dyDescent="0.25">
      <c r="A68" s="21"/>
      <c r="B68" s="23" t="s">
        <v>1282</v>
      </c>
      <c r="C68" s="23"/>
      <c r="D68" s="23" t="s">
        <v>1283</v>
      </c>
      <c r="E68" s="23" t="s">
        <v>1284</v>
      </c>
      <c r="F68" s="23" t="s">
        <v>1285</v>
      </c>
      <c r="G68" s="21">
        <v>1</v>
      </c>
      <c r="H68" s="23" t="s">
        <v>32</v>
      </c>
      <c r="I68" s="23">
        <f t="shared" si="2"/>
        <v>149</v>
      </c>
      <c r="J68" s="23">
        <f t="shared" si="3"/>
        <v>149</v>
      </c>
      <c r="K68" s="41" t="s">
        <v>32</v>
      </c>
      <c r="L68" s="3" t="s">
        <v>1289</v>
      </c>
      <c r="M68" s="41" t="s">
        <v>32</v>
      </c>
      <c r="N68" s="23" t="s">
        <v>32</v>
      </c>
      <c r="O68" s="23" t="s">
        <v>32</v>
      </c>
      <c r="P68" s="23" t="s">
        <v>32</v>
      </c>
      <c r="Q68" s="23" t="s">
        <v>32</v>
      </c>
      <c r="R68" s="23" t="s">
        <v>32</v>
      </c>
    </row>
    <row r="69" spans="1:18" ht="20.100000000000001" customHeight="1" x14ac:dyDescent="0.25">
      <c r="A69" s="21"/>
      <c r="B69" s="23" t="s">
        <v>1286</v>
      </c>
      <c r="C69" s="23"/>
      <c r="D69" s="23" t="s">
        <v>1283</v>
      </c>
      <c r="E69" s="23" t="s">
        <v>954</v>
      </c>
      <c r="F69" s="23" t="s">
        <v>1287</v>
      </c>
      <c r="G69" s="21">
        <v>1</v>
      </c>
      <c r="H69" s="23" t="s">
        <v>32</v>
      </c>
      <c r="I69" s="23">
        <f t="shared" si="2"/>
        <v>144</v>
      </c>
      <c r="J69" s="23">
        <f t="shared" si="3"/>
        <v>144</v>
      </c>
      <c r="K69" s="41" t="s">
        <v>32</v>
      </c>
      <c r="L69" s="41" t="s">
        <v>32</v>
      </c>
      <c r="M69" s="3" t="s">
        <v>1289</v>
      </c>
      <c r="N69" s="23" t="s">
        <v>32</v>
      </c>
      <c r="O69" s="23" t="s">
        <v>32</v>
      </c>
      <c r="P69" s="23" t="s">
        <v>32</v>
      </c>
      <c r="Q69" s="23" t="s">
        <v>32</v>
      </c>
      <c r="R69" s="23" t="s">
        <v>32</v>
      </c>
    </row>
  </sheetData>
  <mergeCells count="2">
    <mergeCell ref="A1:R1"/>
    <mergeCell ref="A2:R2"/>
  </mergeCells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Cautions</vt:lpstr>
      <vt:lpstr>SMD</vt:lpstr>
      <vt:lpstr>PTH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Nina Y.J. Chen (陳盈嘉)</cp:lastModifiedBy>
  <dcterms:created xsi:type="dcterms:W3CDTF">2026-10-13T07:17:37Z</dcterms:created>
  <dcterms:modified xsi:type="dcterms:W3CDTF">2026-10-15T07:16:10Z</dcterms:modified>
</cp:coreProperties>
</file>