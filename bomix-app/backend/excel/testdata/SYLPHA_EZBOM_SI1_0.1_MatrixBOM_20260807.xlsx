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Z:\Programming\BOMIX\bomix-app\backend\excel\template\"/>
    </mc:Choice>
  </mc:AlternateContent>
  <bookViews>
    <workbookView xWindow="2040" yWindow="2712" windowWidth="22152" windowHeight="20400"/>
  </bookViews>
  <sheets>
    <sheet name="SMD" sheetId="2" r:id="rId1"/>
    <sheet name="PTH" sheetId="3" r:id="rId6"/>
    <sheet name="BOTTOM"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2" l="true"/>
  <c r="I7" i="2" s="true"/>
  <c r="J6" i="2"/>
  <c r="I6" i="2" s="true"/>
</calcChain>
</file>

<file path=xl/sharedStrings.xml><?xml version="1.0" encoding="utf-8"?>
<sst xmlns="http://schemas.openxmlformats.org/spreadsheetml/2006/main" count="2014" uniqueCount="2014">
  <si>
    <t>HONG FU JIN PRECISION INDUSTRY(WUHAN) CO.,LTD</t>
  </si>
  <si>
    <t>Item</t>
  </si>
  <si>
    <t>HF PN</t>
  </si>
  <si>
    <t>STD PN</t>
  </si>
  <si>
    <t>Supplier</t>
  </si>
  <si>
    <t>Supplier PN</t>
  </si>
  <si>
    <t>BILL    OF   MATERIAL</t>
  </si>
  <si>
    <t>Model A</t>
  </si>
  <si>
    <t>Model B</t>
  </si>
  <si>
    <t>Model C</t>
  </si>
  <si>
    <t>Model D</t>
  </si>
  <si>
    <t>Model E</t>
  </si>
  <si>
    <t>Model F</t>
  </si>
  <si>
    <t>Model G</t>
  </si>
  <si>
    <t>Description</t>
  </si>
  <si>
    <t>Qty</t>
  </si>
  <si>
    <t>Location</t>
  </si>
  <si>
    <t>Total Q'ty</t>
  </si>
  <si>
    <t>Total Set</t>
  </si>
  <si>
    <t/>
  </si>
  <si>
    <t>Remark</t>
  </si>
  <si>
    <t>52170MR00-940-G</t>
  </si>
  <si>
    <t>TVS,Ir(max)=1uA,Vc(typ)=10V,Vrwm(max)=5V,Vbr(min)=6V,20KV(air),15KV(contact),SOD523-2P,SMD,ROHS,HF</t>
  </si>
  <si>
    <t>AMAZING</t>
  </si>
  <si>
    <t>AZ5125-01H.R7G</t>
  </si>
  <si>
    <t>AD1</t>
  </si>
  <si>
    <t>611209V00-092-H</t>
  </si>
  <si>
    <t>Variable,Vrms=4V,Vdc=5.5V,Vv=9~19V,C=100pF,SMD0402,ROHS,HF</t>
  </si>
  <si>
    <t>INPAQ</t>
  </si>
  <si>
    <t>VPORT0402L101V05</t>
  </si>
  <si>
    <t>AD2,AD3,AD4,AD5,AD6,AD7</t>
  </si>
  <si>
    <t>Phase: {{.Phase}}</t>
    <phoneticPr fontId="11" type="noConversion"/>
  </si>
  <si>
    <t>BOM Version: {{.Version}}</t>
    <phoneticPr fontId="11" type="noConversion"/>
  </si>
  <si>
    <t>Product Code: {{.ProjectCode}}</t>
    <phoneticPr fontId="11" type="noConversion"/>
  </si>
  <si>
    <t>Description: {{.Description}}</t>
    <phoneticPr fontId="11" type="noConversion"/>
  </si>
  <si>
    <t>Schematic Version: {{.SchematicVersion}}</t>
    <phoneticPr fontId="11" type="noConversion"/>
  </si>
  <si>
    <t>PCB Version: {{.PCBVersion}}</t>
    <phoneticPr fontId="11" type="noConversion"/>
  </si>
  <si>
    <t>PCA PN: {{.PCAPN}}</t>
    <phoneticPr fontId="11" type="noConversion"/>
  </si>
  <si>
    <t>Date: {{.Date}}</t>
    <phoneticPr fontId="11" type="noConversion"/>
  </si>
  <si>
    <t>{{.ModelQtyA}}</t>
    <phoneticPr fontId="11" type="noConversion"/>
  </si>
  <si>
    <t>{{.ModelQtyB}}</t>
    <phoneticPr fontId="11" type="noConversion"/>
  </si>
  <si>
    <t>{{.ModelQtyC}}</t>
    <phoneticPr fontId="11" type="noConversion"/>
  </si>
  <si>
    <t>{{.ModelQtyD}}</t>
    <phoneticPr fontId="11" type="noConversion"/>
  </si>
  <si>
    <t>{{.ModelQtyE}}</t>
    <phoneticPr fontId="11" type="noConversion"/>
  </si>
  <si>
    <t>{{.ModelQtyF}}</t>
    <phoneticPr fontId="11" type="noConversion"/>
  </si>
  <si>
    <t>{{.ModelQtyG}}</t>
    <phoneticPr fontId="11" type="noConversion"/>
  </si>
  <si>
    <t>Product Code: SYLPHA</t>
  </si>
  <si>
    <t>Schematic Version: 1.0</t>
  </si>
  <si>
    <t>PCB Version: 1.0</t>
  </si>
  <si>
    <t>BOM Version: 0.1</t>
  </si>
  <si>
    <t>Phase: SI1</t>
  </si>
  <si>
    <t>Description: MBD,Sylpha,NVL-W980,Z2 SFF WS,RoHS2.0+HF</t>
  </si>
  <si>
    <t>PCA PN: Q25684-001</t>
  </si>
  <si>
    <t>Date: 20260807</t>
  </si>
  <si>
    <t>9</t>
  </si>
  <si>
    <t>521811D00-3SW-G</t>
  </si>
  <si>
    <t>TVS-Array,Ir(max)=0.2uA,Vc(typ)=11V@Ipp=16A,Vrwm(max)=5V,Vbr(min)=6V,30KV(air),30KV(contact),SOD523-2P,SMD,ROHS,HF</t>
  </si>
  <si>
    <t>APM</t>
  </si>
  <si>
    <t>AU0521D5-F</t>
  </si>
  <si>
    <t>521811A00-400-G</t>
  </si>
  <si>
    <t>TVS-Array,Ir(max)=0.1uA,Vc(max)=9.5V@Ipp=10A,Vrwm(max)=5V,Vbr(min)=5.6V,30KV(air),30KV(contact),SOD523-2P,SMD,ROHS,HF</t>
  </si>
  <si>
    <t>LRC</t>
  </si>
  <si>
    <t>LESD5Z5.0CAT5G</t>
  </si>
  <si>
    <t>521721U00-15M-G</t>
  </si>
  <si>
    <t>TVS,Ir(max)=0.1uA,Vc(typ)=7.5V@Ipp=16A,Vrwm(max)=5V,Vbr(min)=5.4V,30KV(air),30KV(contact),SOD523-2P,SMD,ROHS,HF</t>
  </si>
  <si>
    <t>SILERGY</t>
  </si>
  <si>
    <t>SYT21M05ANO</t>
  </si>
  <si>
    <t>521723G00-82G-G</t>
  </si>
  <si>
    <t>TVS,Ir(max)=0.2uA,Vc(typ)=9.6V@Ipp=16A,Vrwm(max)=5V,Vbr(min)=5.6V,30KV(air),30KV(contact),SOD523-2P,SMD,ROHS,HF</t>
  </si>
  <si>
    <t>WAYON</t>
  </si>
  <si>
    <t>WE1119K95</t>
  </si>
  <si>
    <t>52180DC00-31C-H</t>
  </si>
  <si>
    <t>TVS-Array,Ir(max)=1uA,Vc(max)=12V,Vrwm(max)=5V,Vbr(min)=5.1V,ESD 30KV(air),30KV(contact),SOD523-2P,SMD,ROHS,HF</t>
  </si>
  <si>
    <t>WILLSEMI</t>
  </si>
  <si>
    <t>ESD5471S-2/TR</t>
  </si>
  <si>
    <t>10</t>
  </si>
  <si>
    <t>611201E00-086-H</t>
  </si>
  <si>
    <t>Variable,Vm(DC)=5.5V,Vm(AC)=4V,I(TM)=20A,C=220pF,SMD0402,ROHS,HF</t>
  </si>
  <si>
    <t>LITTELFUSE</t>
  </si>
  <si>
    <t>V5.5MLA0402NR</t>
  </si>
  <si>
    <t>611202R00-056-H</t>
  </si>
  <si>
    <t>Variable,Vdc=5.5V,Vv=8.8~13.2V,Vc=35V,C=10pF,SMD0402,ROHS,HF</t>
  </si>
  <si>
    <t>TKS</t>
  </si>
  <si>
    <t>TVM0G5R5M100R</t>
  </si>
  <si>
    <t>11</t>
  </si>
  <si>
    <t>72010H400-092-H</t>
  </si>
  <si>
    <t>FB,220 Ohm@100MHz,+/-25%,Irate=2A,DCR=90m Ohm,SMD0603,ROHS,HF</t>
  </si>
  <si>
    <t>MHC1608S221NBP</t>
  </si>
  <si>
    <t>AFB1,AFB2,AFB3,AFB9</t>
  </si>
  <si>
    <t>72010N103-074-H</t>
  </si>
  <si>
    <t>FB,220 Ohm@100MHz,+/-25%,Irate=2.5A,DCR=40m Ohm,SMD0603,ROHS,HF</t>
  </si>
  <si>
    <t>CHILISIN</t>
  </si>
  <si>
    <t>BBUP00160808221Y00</t>
  </si>
  <si>
    <t>72010UB00-015-H</t>
  </si>
  <si>
    <t>FB,220 Ohm@100MHz,+/-25%,Irate=2200mA,DCR=50m Ohm,SMD0603,ROHS,HF</t>
  </si>
  <si>
    <t>MURATA</t>
  </si>
  <si>
    <t>BLM18KG221SN1D</t>
  </si>
  <si>
    <t>72010H400-059-G</t>
  </si>
  <si>
    <t>FB,220 Ohm@100MHz,+/-25%,Irate=2.0A,DCR=90m Ohm,SMD0603,ROHS,HF</t>
  </si>
  <si>
    <t>TAI-TECH</t>
  </si>
  <si>
    <t>HCB1608VF-221T20R90</t>
  </si>
  <si>
    <t>12</t>
  </si>
  <si>
    <t>510700H00-400-H</t>
  </si>
  <si>
    <t>TRANS PNP,Dual,LMBT3906DW1T1G,VBE(sat)=-850mV,HFE=300,Vceo=-40V,Ic(sat)=-200mA,SOT363-6P,SMD,ROHS,HF</t>
  </si>
  <si>
    <t>LMBT3906DW1T1G</t>
  </si>
  <si>
    <t>AQ3,AQ5</t>
  </si>
  <si>
    <t>510700600-891-G</t>
  </si>
  <si>
    <t>TRANS PNP,Dual,MMDT3906,VBE(sat)=-0.95V,HFE=300,Vceo=-40V,Ic(sat)=-200mA,SOT363-6P,SMD,ROHS,HF</t>
  </si>
  <si>
    <t>BLUEROCKET</t>
  </si>
  <si>
    <t>MMDT3906</t>
  </si>
  <si>
    <t>510700600-280-H</t>
  </si>
  <si>
    <t>TRANS PNP,Dual,MMDT3906,VBE(sat)=-850mV,HFE=300,Vceo=-40V,Ic(sat)=-200mA,SOT363-6P,SMD,ROHS,HF</t>
  </si>
  <si>
    <t>PANJIT</t>
  </si>
  <si>
    <t>510700U00-60E-G</t>
  </si>
  <si>
    <t>TRANS PNP,Dual,MMBT3906SDW-HAF,VBE(sat)=-850mV,HFE=300,Vceo=-40V,Ic(sat)=-200mA,SOT363-6P,SMD,ROHS,HF</t>
  </si>
  <si>
    <t>ST-HK</t>
  </si>
  <si>
    <t>MMBT3906SDW-HAF</t>
  </si>
  <si>
    <t>13</t>
  </si>
  <si>
    <t>510100B00-JQ8-H</t>
  </si>
  <si>
    <t>TRANS NPN,PBSS4320T,VBE(sat)=1.2V,HFE=220,Vceo=20V,Ic(sat)=2A,SOT23-3P,SMD,ROHS,HF</t>
  </si>
  <si>
    <t>NEXPERIA</t>
  </si>
  <si>
    <t>PBSS4320T</t>
  </si>
  <si>
    <t>AQ20,AQ30</t>
  </si>
  <si>
    <t>510100B00-891-G</t>
  </si>
  <si>
    <t>51010JF00-237-G</t>
  </si>
  <si>
    <t>TRANS NPN,DSS4320T-7,VBE(sat)=1.2V,HFE=220,Vceo=20V,Ic(sat)=2A,SOT23-3P,SMD,ROHS,HF</t>
  </si>
  <si>
    <t>DIODES</t>
  </si>
  <si>
    <t>DSS4320T-7</t>
  </si>
  <si>
    <t>51010LV00-60E-G</t>
  </si>
  <si>
    <t>TRANS NPN,MMBT4320-HAF,VBE(sat)=1.2V,HFE=220,Vceo=20V,Ic(sat)=2A,SOT23-3P,SMD,ROHS,HF</t>
  </si>
  <si>
    <t>MMBT4320-HAF</t>
  </si>
  <si>
    <t>14</t>
  </si>
  <si>
    <t>62011Q600-015-H</t>
  </si>
  <si>
    <t>CAP,10uF,+/-10%,X5R,25V,SMD0805,ROHS,HF</t>
  </si>
  <si>
    <t>GRM21BR61E106KA73L</t>
  </si>
  <si>
    <t>C2128,C325</t>
  </si>
  <si>
    <t>62011Q600-026-H</t>
  </si>
  <si>
    <t>SAMSUNG</t>
  </si>
  <si>
    <t>CL21A106KAYNNNE</t>
  </si>
  <si>
    <t>62011Q60G-023-G</t>
  </si>
  <si>
    <t>TAIYO</t>
  </si>
  <si>
    <t>MSAST21GBB5106KTNA01</t>
  </si>
  <si>
    <t>62011Q600-0B4-G</t>
  </si>
  <si>
    <t>VIIYONG</t>
  </si>
  <si>
    <t>V106K0805X5R250NHP</t>
  </si>
  <si>
    <t>62011Q600-012-H</t>
  </si>
  <si>
    <t>WALSIN</t>
  </si>
  <si>
    <t>0805X106K250CT</t>
  </si>
  <si>
    <t>62011Q600-011-H</t>
  </si>
  <si>
    <t>YAGEO</t>
  </si>
  <si>
    <t>CC0805KKX5R8BB106</t>
  </si>
  <si>
    <t>18</t>
  </si>
  <si>
    <t>52114TH00-289-G</t>
  </si>
  <si>
    <t>LED,CLR,White:Iv=180mcd@If=5mA,VF=3.15V,IF=10mA,Red:W=636nm,Iv=45mcd@If=5mA,VF=2.3V,VR=5V,IF=20mA,SMD1204,ROHS,HF</t>
  </si>
  <si>
    <t>LITEON</t>
  </si>
  <si>
    <t>LTW-S117DSKR-F2</t>
  </si>
  <si>
    <t>CR14</t>
  </si>
  <si>
    <t>52112RG00-326-H</t>
  </si>
  <si>
    <t>LED,CLR,White:Iv=112mcd@If=5mA,VF=3.7V,IF=10mA,Red:W=629.5nm,Iv=45mcd@If=5mA,VF=2.4V,VR=5V,IF=25mA,SMD1204,ROHS,HF</t>
  </si>
  <si>
    <t>EVERLIGHT</t>
  </si>
  <si>
    <t>12-22W/R6T1D-C30/2C</t>
  </si>
  <si>
    <t>Only release TR,no reliability report</t>
  </si>
  <si>
    <t>52114S000-91T-G</t>
  </si>
  <si>
    <t>LED,CLR,White:Iv=180mcd@If=5mA,VF=3.2V,IF=20mA,Red:W=635nm,Iv=40mcd@If=5mA,VF=2.2V,VR=5V,IF=20mA,SMD1204,ROHS,HF</t>
  </si>
  <si>
    <t>HONGBRIGHT</t>
  </si>
  <si>
    <t>H3210BV3W30C02</t>
  </si>
  <si>
    <t>521152900-366-G</t>
  </si>
  <si>
    <t>LED,CLR,White:Iv=220mcd@If=5mA,VF=3.15V,IF=25mA,Red:W=640nm,Iv=40mcd@If=5mA,VF=2.2V,VR=5V,IF=25mA,SMD1204,ROHS,HF</t>
  </si>
  <si>
    <t>PARA LIGHT</t>
  </si>
  <si>
    <t>LS115KRWDT-S60</t>
  </si>
  <si>
    <t>19</t>
  </si>
  <si>
    <t>52111NB00-289-H</t>
  </si>
  <si>
    <t>LED,CLR,White,Iv=112mcd@If=5mA,VF=3.15V,VR=5V,IF=20mA,SMD1204,ROHS,HF</t>
  </si>
  <si>
    <t>LTW-110DC5-Q</t>
  </si>
  <si>
    <t>CR15</t>
  </si>
  <si>
    <t>52114R700-326-G</t>
  </si>
  <si>
    <t>LED,CLR,White,Iv=112mcd@If=5mA,VF=3.4V,VR=5V,IF=20mA,SMD1204,ROHS,HF</t>
  </si>
  <si>
    <t>12-21C/T3D-CP1Q2B12Y/2C(HFX)</t>
  </si>
  <si>
    <t>52113TF00-290-H</t>
  </si>
  <si>
    <t>LED,CLR,White,Iv=112.5mcd@If=5mA,VF=3.25V,VR=5V,IF=20mA,SMD1204,ROHS,HF</t>
  </si>
  <si>
    <t>HARVATEK</t>
  </si>
  <si>
    <t>B1101BS--05P-002233</t>
  </si>
  <si>
    <t>20</t>
  </si>
  <si>
    <t>52180NG00-262-H</t>
  </si>
  <si>
    <t>TVS-Array,Ir(max)=50nA,Vc(typ)=7V@Itlp=30A,Vrwm(max)=24V,Vbr(min)=27V,30KV(air),30KV(contact),WLCSP-2P,SMD,ROHS,HF</t>
  </si>
  <si>
    <t>AOS</t>
  </si>
  <si>
    <t>AOZ8S305BLS-24</t>
  </si>
  <si>
    <t>D3,D5</t>
  </si>
  <si>
    <t>521720300-280-G</t>
  </si>
  <si>
    <t>TVS,Ir(max)=1uA,Vc(typ)=2.5V@Ipp=16A,Vrwm(max)=24V,Vbr(min)=25V,30KV(air),30KV(contact),DFN-2P,SMD,ROHS,HF</t>
  </si>
  <si>
    <t>PS1A0M-D32</t>
  </si>
  <si>
    <t>21</t>
  </si>
  <si>
    <t>52030S500-237-H</t>
  </si>
  <si>
    <t>DIODE,Schottky,Vf=1V,Vr=40V,If(max)=200mA,Ir(max)=200nA,SOT23-3P,SMD,ROHS,HF</t>
  </si>
  <si>
    <t>BAS40-05-7-F</t>
  </si>
  <si>
    <t>D4</t>
  </si>
  <si>
    <t>52032CD00-52N-G</t>
  </si>
  <si>
    <t>BENCENT</t>
  </si>
  <si>
    <t>BH-ST30240-05</t>
  </si>
  <si>
    <t>52031J500-400-H</t>
  </si>
  <si>
    <t>DIODE,Schottky,Vf=1V,Vr=40V,If(max)=120mA,Ir(max)=10uA,SOT23-3P,SMD,ROHS,HF</t>
  </si>
  <si>
    <t>LBAS40-05LT1G</t>
  </si>
  <si>
    <t>520317E00-77W-G</t>
  </si>
  <si>
    <t>PINGWEI</t>
  </si>
  <si>
    <t>BAS40-05</t>
  </si>
  <si>
    <t>52031J800-60E-H</t>
  </si>
  <si>
    <t>BAS40-05-HAF</t>
  </si>
  <si>
    <t>22</t>
  </si>
  <si>
    <t>52171P000-52N-G</t>
  </si>
  <si>
    <t>TVS,Ir(max)=0.1uA,Vcl(max)=32.4V@Ipp=12.3A,Vrwm(max)=20V,Vbr(min)=22.2V,30KV(air),30KV(contact),SOD123F-2P,SMD,ROHS,HF</t>
  </si>
  <si>
    <t>BV-D120ZH</t>
  </si>
  <si>
    <t>D10,D60</t>
  </si>
  <si>
    <t>52171NY00-400-G</t>
  </si>
  <si>
    <t>TVS,Ir(max)=1uA,Vcl(max)=32.4V@Ipp=12.3A,Vrwm(max)=20V,Vbr(min)=22.2V,30KV(air),30KV(contact),SOD123FL-2P,SMD,ROHS,HF</t>
  </si>
  <si>
    <t>P4SODJ20A-SH</t>
  </si>
  <si>
    <t>521704R00-JQ8-H</t>
  </si>
  <si>
    <t>TVS,Ir(max)=0.1uA,Vc(max)=32.4V@Ipp=12.3A,Vrwm(max)=20V,Vbr(min)=22.2V,15KV(air),8KV(contact),SMD,ROHS,HF</t>
  </si>
  <si>
    <t>PTVS20VS1UR</t>
  </si>
  <si>
    <t>52171NA00-82G-G</t>
  </si>
  <si>
    <t>TVS,Ir(max)=0.1uA,Vcl(max)=32.4V@Ipp=12.3A,Vrwm(max)=20V,Vbr(min)=22.2V,30KV(air),30KV(contact),SOD123FL-2P,SMD,ROHS,HF</t>
  </si>
  <si>
    <t>SM4F20AS</t>
  </si>
  <si>
    <t>23</t>
  </si>
  <si>
    <t>52170LV00-400-H</t>
  </si>
  <si>
    <t>TVS,Ir(max)=0.5uA,Vc(max)=20V@Ipp=4A,Vrwm(max)=5V,Vbr(min)=6V,15KV(air),8KV(contact),SOD882-2P,SMD,ROHS,HF</t>
  </si>
  <si>
    <t>LESD8LL5.0CT5G</t>
  </si>
  <si>
    <t>D57,D58,D7,D8</t>
  </si>
  <si>
    <t>521723400-3SW-G</t>
  </si>
  <si>
    <t>TVS,Ir(max)=0.2uA,Vc(typ)=16.3V@Ipp=16A,Vrwm(max)=5V,Vbr(min)=6V,25KV(air),25KV(contact),DFN1006-2P,SMD,ROHS,HF</t>
  </si>
  <si>
    <t>AR0521P1LV-F</t>
  </si>
  <si>
    <t>521720400-52N-G</t>
  </si>
  <si>
    <t>TVS,Ir(max)=0.1uA,Vc(typ)=13.5V@Ipp=16A,,Vrwm(max)=5V,Vbr(min)=5.5V,30KV(air),30KV(contact),DFN-2P,SMD,ROHS,HF</t>
  </si>
  <si>
    <t>BV-FA05UCY</t>
  </si>
  <si>
    <t>521720200-15M-G</t>
  </si>
  <si>
    <t>TVS,Ir(max)=0.1uA,Vc(typ)=11V@Ipp=16A,Vrwm(max)=5V,Vt1(min)=5.5V,30KV(air),30KV(contact),DFN-2P,SMD,ROHS,HF</t>
  </si>
  <si>
    <t>SYT21S05DWC</t>
  </si>
  <si>
    <t>52180RM00-82G-G</t>
  </si>
  <si>
    <t>TVS-Array,Ir(max)=150nA,Vc(max)=20V@Ipp=3A,Vrwm(max)=5V,Vbr(min)=6V,15KV(air),10KV(contact),DFN1006-2P,SMD,ROHS,HF</t>
  </si>
  <si>
    <t>WE05DUCF-B</t>
  </si>
  <si>
    <t>52170JB00-31C-H</t>
  </si>
  <si>
    <t>TVS,Ir(max)=100nA,Vc(typ)=21V@Ipp=16A,Vrwm(max)=5.0V,Vbr(min)=7.5V,20KV(air),20KV(contact),DFN-2P,SMD,ROHS,HF</t>
  </si>
  <si>
    <t>ESD5311N-2/TR</t>
  </si>
  <si>
    <t>24</t>
  </si>
  <si>
    <t>52180BY00-940-H</t>
  </si>
  <si>
    <t>TVS-Array,Ir(max)=1uA,Vc(typ)=11.5V,Vrwm(max)=5V,Vbr(min)=5.8V,15KV(air),15KV(contact),SOT23-3P,SMD,ROHS,HF</t>
  </si>
  <si>
    <t>AZ5125-02S.R7G</t>
  </si>
  <si>
    <t>D59,D9</t>
  </si>
  <si>
    <t>521810800-3SW-G</t>
  </si>
  <si>
    <t>TVS-Array,Ir(max)=0.2uA,Vc(typ)=10.8V@Ipp=16A,Vrwm(max)=5V,Vbr(min)=6V,30KV(air),30KV(contact),SOT23-3P,SMD,ROHS,HF</t>
  </si>
  <si>
    <t>AU0542S2L-F</t>
  </si>
  <si>
    <t>52180U600-52N-G</t>
  </si>
  <si>
    <t>TVS-Arry,Ir(max)=0.5uA,Vc(max)=12.5V@Ipp=6A,Vrwm(max)=5V,Vbr(min)=5.3V,25KV(air),25KV(contact),SOT23-3P,SMD,ROHS,HF</t>
  </si>
  <si>
    <t>BV-T305Z2CD</t>
  </si>
  <si>
    <t>52180U300-82G-G</t>
  </si>
  <si>
    <t>TVS-Array,Ir(max)=0.2uA,Vcl(typ)=10V@Ipp=16A,Vrwm(max)=5V,Vbr(min)=5.6V,30KV(contact),30KV(air),SOT23-3P,SMD,ROHS,HF</t>
  </si>
  <si>
    <t>WE1219KT</t>
  </si>
  <si>
    <t>52180DF00-31C-H</t>
  </si>
  <si>
    <t>TVS-Arry,Ir(max)=100nA,Vc(max)=10V,Vrwm(max)=+/-5V,Vbr(min)=5.1V,30KV(air),30KV(contact),SOT23-3P,SMD,ROHS,HF</t>
  </si>
  <si>
    <t>ESD5452E-3/TR</t>
  </si>
  <si>
    <t>25</t>
  </si>
  <si>
    <t>52170M000-227-H</t>
  </si>
  <si>
    <t>TVS,Ir(max)=50nA,Vc(max)=25V@Ipp=7A,Vrwm(max)=12V,Vbr(min)=14.2V,ESD 30KV(air),30KV(contact),SLP0603-2P,SMD,ROHS,HF</t>
  </si>
  <si>
    <t>SEMTECH</t>
  </si>
  <si>
    <t>UCLAMP1211Z.TFT</t>
  </si>
  <si>
    <t>D63</t>
  </si>
  <si>
    <t>521811B00-3SW-G</t>
  </si>
  <si>
    <t>TVS-Array,Ir(max)=0.2uA,Vc(typ)=21V@Ipp=16A,Vrwm(max)=12V,Vbr(min)=13V,30KV(air),30KV(contact),DFN0603-2P,SMD,ROHS,HF</t>
  </si>
  <si>
    <t>AU1241P0-F</t>
  </si>
  <si>
    <t>52171NJ00-52N-G</t>
  </si>
  <si>
    <t>TVS,Ir(max)=0.1uA,Vc(typ)=15.8V@Ipp=16A,Vrwm(max)=12V,Vbr(min)=13V,30KV(air),30KV(contact),DFN0603-2P,SMD,ROHS,HF</t>
  </si>
  <si>
    <t>BV-F612ZCB-AK</t>
  </si>
  <si>
    <t>52171K900-400-G</t>
  </si>
  <si>
    <t>TVS,Ir(max)=100nA,Vcl(max)=19V@Ipp=8A,Vrwm(max)=12V,Vbr(min)=13V,30KV(air),30KV(contact),DFN0603-2P,SMD,ROHS,HF</t>
  </si>
  <si>
    <t>LESD11D12CAT5G</t>
  </si>
  <si>
    <t>52171WD00-15M-G</t>
  </si>
  <si>
    <t>TVS,Ir(max)=0.1uA,Vcl(typ)=19V@Ipp=16A,Vrwm(max)=12V,Vbr(min)=13V,30KV(air),30KV(contact),DFN0603-2P,SMD,ROHS,HF</t>
  </si>
  <si>
    <t>SYT21M12DXD</t>
  </si>
  <si>
    <t>52171K800-82G-G</t>
  </si>
  <si>
    <t>TVS,Ir(max)=200nA,Vcl(typ)=14.2V@Ipp=16A,Vrwm(max)=12V,Vbr(min)=13.3V,30KV(air),30KV(contact),DFN0603-2P,SMD,ROHS,HF</t>
  </si>
  <si>
    <t>WE1139PS</t>
  </si>
  <si>
    <t>521711V00-31C-G</t>
  </si>
  <si>
    <t>TVS,Ir(max)=50nA,Vc(typ)=18V@Ipp=16A,Vrwm(max)=12V,Vbr(min)=13V,30KV(air),30KV(contact),DFN0603-2P,SMD,ROHS,HF</t>
  </si>
  <si>
    <t>ESD54031Z-2/TR</t>
  </si>
  <si>
    <t>26</t>
  </si>
  <si>
    <t>3406CU300-GRT-H</t>
  </si>
  <si>
    <t>CONN,Header,1X2,2.0mm,Gold 15u inch,Black,SMD-2P,ROHS,HF</t>
  </si>
  <si>
    <t>PINREX</t>
  </si>
  <si>
    <t>222-H96-02SBEF</t>
  </si>
  <si>
    <t>E1,E21</t>
  </si>
  <si>
    <t>signal:SMD;shell:none;post:none</t>
  </si>
  <si>
    <t>27</t>
  </si>
  <si>
    <t>341429000-GVQ-H</t>
  </si>
  <si>
    <t>CONN,FPC,0.5mm,Gold Flash,Natural,SMD-6P,ROHS,HF</t>
  </si>
  <si>
    <t>ACES</t>
  </si>
  <si>
    <t>51536-00601-001</t>
  </si>
  <si>
    <t>E20</t>
  </si>
  <si>
    <t>signal:SMD;shell:SMD;post:none</t>
  </si>
  <si>
    <t>28</t>
  </si>
  <si>
    <t>341328S00-GVQ-H</t>
  </si>
  <si>
    <t>CONN,Board To Board,0.5mm,Gold Flash,Black,SMD-20P,ROHS,HF</t>
  </si>
  <si>
    <t>50044-02001-001</t>
  </si>
  <si>
    <t>E23</t>
  </si>
  <si>
    <t>signal:SMD;shell:none;post:0.60+/-0.15</t>
  </si>
  <si>
    <t>29</t>
  </si>
  <si>
    <t>34068BV00-GVQ-H</t>
  </si>
  <si>
    <t>CONN,Wire-to-Board Header,1.0mm,Gold 1u inch,Natural,SMD-5P,ROHS,HF</t>
  </si>
  <si>
    <t>50228-00571-003</t>
  </si>
  <si>
    <t>E24,E26</t>
  </si>
  <si>
    <t>31</t>
  </si>
  <si>
    <t>51032CR00-400-H</t>
  </si>
  <si>
    <t>MOS N,LBSS139LT1G,Vdss=50V,Id(max)=200mA@Ta=25C,Ciss=50pF,VGS(th)=1.5V,3.5 Ohm@Vgs=5V,SOT23-3P,SMD,ROHS,HF</t>
  </si>
  <si>
    <t>LBSS139LT1G</t>
  </si>
  <si>
    <t>FQ900,FQ901,HQ1,HQ2,LQ102,Q9,SQ2,VQ100,XQ400</t>
  </si>
  <si>
    <t>510349F00-52N-G</t>
  </si>
  <si>
    <t>MOS N,BM-T360V02NE,Vdss=60V,Id(max)=200mA@Ta=25C,Ciss=22.8pF,VGS(th)=1.5V,2 Ohm@Vgs=5V,SOT23-3P,SMD,ROHS,HF</t>
  </si>
  <si>
    <t>BM-T360V02NE</t>
  </si>
  <si>
    <t>510349G00-3RV-G</t>
  </si>
  <si>
    <t>MOS N,ME138DC-G,Vdss=50V,Id(max)=800mA@Ta=25C,Ciss=27.5pF,VGS(th)=1.5V,1.3 Ohm@Vgs=4.5V,SOT23-3P,SMD,ROHS,HF</t>
  </si>
  <si>
    <t>FORCE MOS</t>
  </si>
  <si>
    <t>ME138DC-G</t>
  </si>
  <si>
    <t>51032HW00-280-H</t>
  </si>
  <si>
    <t>MOS N,PJA138K,Vdss=50V,Id(max)=500mA@Ta=25C,Ciss=50pF,VGS(th)=1.5V,2.5 Ohm@Vgs=4.5V,SOT23-3P,SMD,ROHS,HF</t>
  </si>
  <si>
    <t>PJA138K</t>
  </si>
  <si>
    <t>510345300-60E-G</t>
  </si>
  <si>
    <t>MOS N,MKA06N2K5UK-HAF,Vdss=60V,Id(max)=300mA@Ta=25C,Ciss=21pF,VGS(th)=1.2V,2.5Ohm@Vgs=4.5V,SOT23-3P,SMD,ROHS,HF</t>
  </si>
  <si>
    <t>MKA06N2K5UK-HAF</t>
  </si>
  <si>
    <t>32</t>
  </si>
  <si>
    <t>521107U00-289-H</t>
  </si>
  <si>
    <t>LED,CLR,Orange,Wavelength=611nm,Iv=90mcd@If=20mA,VF=2.4V,VR=5V,IF=30mA,SMD0603,ROHS,HF</t>
  </si>
  <si>
    <t>LTST-C190KFKT</t>
  </si>
  <si>
    <t>HCR902</t>
  </si>
  <si>
    <t>521151K00-326-G</t>
  </si>
  <si>
    <t>LED,CLR,Orange,Wavelength=611nm,Iv=180mcd@If=20mA,VF=2.35V,VR=5V,SMD0603,ROHS,HF</t>
  </si>
  <si>
    <t>19-21/S2C-AQ1R2B/4T(HFX)</t>
  </si>
  <si>
    <t>52114AL00-91T-G</t>
  </si>
  <si>
    <t>LED,CLR,Amber,Wavelength=610nm,Iv=150mcd@If=20mA,VF=2.3V,VR=5V,IF=30mA,SMD0603,ROHS,HF</t>
  </si>
  <si>
    <t>H1608AA22E0C02</t>
  </si>
  <si>
    <t>33</t>
  </si>
  <si>
    <t>52112UV00-289-H</t>
  </si>
  <si>
    <t>LED,CLR,Red,Wavelengh=639nm,Iv=54mcd@If=20mA,VF=2.4V,VR=5V,IF=30mA,SMD0603,ROHS,HF</t>
  </si>
  <si>
    <t>LTST-C191KRKT</t>
  </si>
  <si>
    <t>HCR903</t>
  </si>
  <si>
    <t>52114TL00-326-G</t>
  </si>
  <si>
    <t>LED,CLR,Red,Wavelengh=632nm,Iv=112mcd@If=20mA,VF=2.35V,VR=5V,IF=25mA,SMD0603,ROHS,HF</t>
  </si>
  <si>
    <t>19-213/R6C-AP1Q2B/5T</t>
  </si>
  <si>
    <t>52114B400-91T-H</t>
  </si>
  <si>
    <t>LED,CLR,Red,Iv=160mcd@If=15mA,VF=2.4V,VR=5V,IF=30mA,SMD,ROHS,HF</t>
  </si>
  <si>
    <t>H1608AV22A0C02</t>
  </si>
  <si>
    <t>34</t>
  </si>
  <si>
    <t>630133900-092-H</t>
  </si>
  <si>
    <t>Chip Inductor,2.2uH@1MHz,+/-20%,Isat=2.7A,Irate=1.9A,DCR=104m Ohm,SHLD,SMD1008,ROHS,HF</t>
  </si>
  <si>
    <t>WIP252012P-2R2ML</t>
  </si>
  <si>
    <t>HL1</t>
  </si>
  <si>
    <t>63014EP00-015-G</t>
  </si>
  <si>
    <t>Chip Inductor,2.2uH@1MHz,+/-20%,Isat=3.3A,Irate=2.3A,DCR=82m Ohm,SHLD,SMD1008,ROHS,HF</t>
  </si>
  <si>
    <t>DFE252012F-2R2M=P2</t>
  </si>
  <si>
    <t>63015D400-051-G</t>
  </si>
  <si>
    <t>Chip Inductor,2.2uH@2MHz,+/-20%,Isat=2.7A,Irate=1.9A,DCR=104m Ohm,SMD1008,ROHS,HF</t>
  </si>
  <si>
    <t>PULSE</t>
  </si>
  <si>
    <t>BDCC002520122R2MCT</t>
  </si>
  <si>
    <t>35</t>
  </si>
  <si>
    <t>51050VM00-400-G</t>
  </si>
  <si>
    <t>MOS N,Dual,L2N7002SDW1T1CG,Vdss=60V,Id(max)=320mA@Ta=25C,Ciss=35pF,VGS(th)=2V,3.2Ohm@Vgs=4.5V,SOT363-6P,SMD,ROHS,HF</t>
  </si>
  <si>
    <t>L2N7002SDW1T1CG</t>
  </si>
  <si>
    <t>HQ5,HQ6,HQ7,KQ100,PQ301,PQ502,PQ711,PQ712,PQ718,PQ721,PQ752,PQ780,PQ852,PQ853,PQ960,Q10,Q2,SQ10,SQ11,SQ19,SQ20,SQ4,SQ7,SQ8,VQ2,XQ3,XQ302,XQ304,XQ703</t>
  </si>
  <si>
    <t>51050V300-60E-G</t>
  </si>
  <si>
    <t>MOS N,Dual,MMBT7002FKDW-HAF,Vdss=60V,Id(max)=300mA@Ta=25C,Ciss=22pF,VGS(th)=2V,3Ohm@Vgs=4.5V,SOT363-6P,SMD,ROHS,HF</t>
  </si>
  <si>
    <t>MMBT7002FKDW-HAF</t>
  </si>
  <si>
    <t>36</t>
  </si>
  <si>
    <t>51032BQ00-400-H</t>
  </si>
  <si>
    <t>MOS N,Dual,LBSS139DW1T1G,Vdss=50V,Id(max)=200mA@Ta=25C,Ciss=22.8pF,VGS(th)=1.5V,3.5Ohm@Vgs=5V,SOT363-6P,SMD,ROHS,HF</t>
  </si>
  <si>
    <t>LBSS139DW1T1G</t>
  </si>
  <si>
    <t>HQ904,VQ300,XQ4</t>
  </si>
  <si>
    <t>51050Y700-52N-G</t>
  </si>
  <si>
    <t>MOS N,Dual,BM-E650V022NE,Vdss=50V,Id(max)=220mA@Ta=25C,Ciss=22.8pF,VGS(th)=1.45V,4Ohm@Vgs=4.5V,SOT363-6P,SMD,ROHS,HF</t>
  </si>
  <si>
    <t>BM-E650V022NE</t>
  </si>
  <si>
    <t>51050AG00-JQ8-H</t>
  </si>
  <si>
    <t>MOS N,Dual,BSS138PS,Vdss=60V,Id(max)=320mA@Ta=25C,Ciss=50pF,VGS(th)=1.5V,2 Ohm@Vgs=5V,SOT363-6P,SMD,ROHS,HF</t>
  </si>
  <si>
    <t>BSS138PS</t>
  </si>
  <si>
    <t>51050L000-280-H</t>
  </si>
  <si>
    <t>MOS N,Dual,Vdss=50V,Id(max)=360mA@Ta=25C,Ciss=50pF,VGS(th)=1.5V,2.5 Ohm@Vgs=4.5V,SOT363-6P,SMD,ROHS,HF</t>
  </si>
  <si>
    <t>PJT138K</t>
  </si>
  <si>
    <t>37</t>
  </si>
  <si>
    <t>51040PM00-400-G</t>
  </si>
  <si>
    <t>MOS P,LBSS84LT1G,Vdss=-50V,Id(max)=-130mA@Ta=25C,Ciss=30pF,VGS(th)=-2.0V,10 Ohm@Vgs=-5V,SOT23-3P,SMD,ROHS</t>
  </si>
  <si>
    <t>LBSS84LT1G</t>
  </si>
  <si>
    <t>HQ907</t>
  </si>
  <si>
    <t>38</t>
  </si>
  <si>
    <t>31050PR00-JQ8-G</t>
  </si>
  <si>
    <t>IC,Buffer With Open-Drain Output,74LVC1G07GW,125,TSSOP-5P,SMD,ROHS,HF</t>
  </si>
  <si>
    <t>74LVC1G07GW,125</t>
  </si>
  <si>
    <t>HU2</t>
  </si>
  <si>
    <t>31010LL00-237-H</t>
  </si>
  <si>
    <t>IC,Single Buffer/Driver With Open-Drain Output,74LVC1G07SE-7,SOT353-5P,SMD,ROHS,HF</t>
  </si>
  <si>
    <t>74LVC1G07SE-7</t>
  </si>
  <si>
    <t>310510B00-400-G</t>
  </si>
  <si>
    <t>IC,Buffer with open-drain output,LR74LVC1G07GW,SOT353-5P,SMD,RoHS,HF</t>
  </si>
  <si>
    <t>LR74LVC1G07GW</t>
  </si>
  <si>
    <t>31050SM00-01Y-G</t>
  </si>
  <si>
    <t>IC,Single Buffer with Open-Drain output,SLP74LVC1G07KMTR,SOT353-5P,SMD,RoHS,HF</t>
  </si>
  <si>
    <t>SILAN</t>
  </si>
  <si>
    <t>SLP74LVC1G07KMTR</t>
  </si>
  <si>
    <t>310501200-183-H</t>
  </si>
  <si>
    <t>IC,Single Buffer/Driver With Open-Drain Output,SN74LVC1G07DCKR,SC70-5P,SMD,ROHS,HF</t>
  </si>
  <si>
    <t>TI</t>
  </si>
  <si>
    <t>SN74LVC1G07DCKR</t>
  </si>
  <si>
    <t>31050RR00-234-G</t>
  </si>
  <si>
    <t>IC,BUFFER/DRIVER WITH OPEN-DRAIN OUTPUT,U74LVC1G07G-AL5-R,SOT353-5P,SMD,RoHS,HF</t>
  </si>
  <si>
    <t>UTC</t>
  </si>
  <si>
    <t>U74LVC1G07G-AL5-R</t>
  </si>
  <si>
    <t>39</t>
  </si>
  <si>
    <t>310202H00-JQ8-G</t>
  </si>
  <si>
    <t>IC,Single D-type Flip-Flop With Set And Reset,Positive Edge Trigger,74LVC1G74DC,VSSOP-8P,SMD,ROHS,HF</t>
  </si>
  <si>
    <t>74LVC1G74DC</t>
  </si>
  <si>
    <t>HU7</t>
  </si>
  <si>
    <t>310202J00-223-H</t>
  </si>
  <si>
    <t>IC,Single D Flip-Flop,NL17SZ74USG,US-8P,SMD,ROHS,HF</t>
  </si>
  <si>
    <t>ONSEMI</t>
  </si>
  <si>
    <t>NL17SZ74USG</t>
  </si>
  <si>
    <t>31020AF00-183-G</t>
  </si>
  <si>
    <t>IC,SINGLE POSITIVE-EDGE-TRIGGERED D-TYPE FLIP-FLOP WITH CLEAR AND PRESET,SN74LVC1G74DCUR,VSSOP-8P,SMD,RoHS,HF</t>
  </si>
  <si>
    <t>SN74LVC1G74DCUR</t>
  </si>
  <si>
    <t>31020AU00-131-H</t>
  </si>
  <si>
    <t>IC,D-Type Flip Flop with Preset and Clear,TC7WZ74FK,LJ(CT,SOT765-8P,SMD,RoHS,HF</t>
  </si>
  <si>
    <t>TOSHIBA</t>
  </si>
  <si>
    <t>TC7WZ74FK,LJ(CT</t>
  </si>
  <si>
    <t>40</t>
  </si>
  <si>
    <t>31010NK00-237-H</t>
  </si>
  <si>
    <t>IC,Single Schmitt-Trigger Inverter,74LVC1G14W5-7,SOT25-5P,SMD,ROHS,HF</t>
  </si>
  <si>
    <t>74LVC1G14W5-7</t>
  </si>
  <si>
    <t>HU8</t>
  </si>
  <si>
    <t>310209J00-JQ8-H</t>
  </si>
  <si>
    <t>IC,Single Schmitt-Trigger Inverter,74LVC1G14GV,SOT753-5P,SMD,ROHS,HF</t>
  </si>
  <si>
    <t>74LVC1G14GV</t>
  </si>
  <si>
    <t>310107E00-183-H</t>
  </si>
  <si>
    <t>IC,Single Schmitt-Trigger Inverter,SN74LVC1G14DBVR,SOT23-5P,SMD,ROHS,HF</t>
  </si>
  <si>
    <t>SN74LVC1G14DBVR</t>
  </si>
  <si>
    <t>310117Q00-131-G</t>
  </si>
  <si>
    <t>IC,Schmitt Inverter,TC7SZ14F,LJ(CT,SOT25-5P,SMD,ROHS,HF</t>
  </si>
  <si>
    <t>TC7SZ14F,LJ(CT</t>
  </si>
  <si>
    <t>41</t>
  </si>
  <si>
    <t>31010NT00-183-H</t>
  </si>
  <si>
    <t>IC,Low-Power Single 2-Input Positive-OR Gate,SN74AUP1G32DCKR,SC70-5P,SMD,RoHS,HF</t>
  </si>
  <si>
    <t>SN74AUP1G32DCKR</t>
  </si>
  <si>
    <t>HU9,SU800</t>
  </si>
  <si>
    <t>310112700-237-H</t>
  </si>
  <si>
    <t>IC,SINGLE 2 INPUT POSITIVE OR GATE,74AUP1G32SE-7,SOT353-5P,SMD,RoHS,HF</t>
  </si>
  <si>
    <t>74AUP1G32SE-7</t>
  </si>
  <si>
    <t>310113E00-JQ8-G</t>
  </si>
  <si>
    <t>IC,Low-power 2-input OR-gate,74AUP1G32GW ,TSSOP-5P,SMD,RoHS,HF</t>
  </si>
  <si>
    <t>74AUP1G32GW</t>
  </si>
  <si>
    <t>310113D00-223-H</t>
  </si>
  <si>
    <t>IC,Single 2-Input OR Gate,NL17SG32DFT2G,SC88-5P,SMD,RoHS,HF</t>
  </si>
  <si>
    <t>NL17SG32DFT2G</t>
  </si>
  <si>
    <t>310119700-01Y-G</t>
  </si>
  <si>
    <t>IC,LOW-POWER 2-INPUT OR-GATE,SLP74AUP1G32KMTR,SOT353-5P,SMD,RoHS,HF</t>
  </si>
  <si>
    <t>SLP74AUP1G32KMTR</t>
  </si>
  <si>
    <t>310114B00-234-G</t>
  </si>
  <si>
    <t>IC,SINGLE 2-INPUT OR GATE,U74AUP1G32G-AL5-R,SOT353-5P,SMD,RoHS,HF</t>
  </si>
  <si>
    <t>U74AUP1G32G-AL5-R</t>
  </si>
  <si>
    <t>42</t>
  </si>
  <si>
    <t>31010VF00-183-H</t>
  </si>
  <si>
    <t>IC,Low-Power Configurable Multiple-Function Gate,SN74AUP1G97DCKR,SC70-6P,SMD,ROHS,HF</t>
  </si>
  <si>
    <t>SN74AUP1G97DCKR</t>
  </si>
  <si>
    <t>HU10,HU11,HU6,PU851</t>
  </si>
  <si>
    <t>31010VK00-JQ8-G</t>
  </si>
  <si>
    <t>IC,Low-power Configurable Multiple Function Gate,74AUP1G97GW,SOT363-6P,SMD,ROHS,HF</t>
  </si>
  <si>
    <t>74AUP1G97GW</t>
  </si>
  <si>
    <t>310114Q00-234-G</t>
  </si>
  <si>
    <t>IC,LOW-POWER CONFIGURABLE MULTIPLE-FUNCTION GATE,U74AUP1G97G-AL6-R,SOT363-6P,SMD,RoHS,HF</t>
  </si>
  <si>
    <t>U74AUP1G97G-AL6-R</t>
  </si>
  <si>
    <t>45</t>
  </si>
  <si>
    <t>34033S700-67Y-G</t>
  </si>
  <si>
    <t>CONN,NGFF,1A,Key-E,Gen4,0.5mm,Gold 30u inch,Black,SMD-67P,ROHS,HF</t>
  </si>
  <si>
    <t>FIT</t>
  </si>
  <si>
    <t>2E0BC23-F40AE-7H</t>
  </si>
  <si>
    <t>J38</t>
  </si>
  <si>
    <t>signal:SMD;shell:SMD;post:0.50+/-0.15;</t>
  </si>
  <si>
    <t>34033WB00-38K-G</t>
  </si>
  <si>
    <t>DEREN</t>
  </si>
  <si>
    <t>5621D3-032H-5412</t>
  </si>
  <si>
    <t>signal:SMD;shell:SMD;post:0.60+/-0.2;</t>
  </si>
  <si>
    <t>34033VQ00-GRS-G</t>
  </si>
  <si>
    <t>LOTES</t>
  </si>
  <si>
    <t>APCIA185-P008TC</t>
  </si>
  <si>
    <t>signal:SMD;shell:SMD;post:0.60+/-0.25;</t>
  </si>
  <si>
    <t>46</t>
  </si>
  <si>
    <t>2A6510U00-GB3-H</t>
  </si>
  <si>
    <t>Nut,Diameter:5.0mm,High:5.5mm,SMD,ROHS,HF</t>
  </si>
  <si>
    <t>RONNIE</t>
  </si>
  <si>
    <t>50-4020-55-R522</t>
  </si>
  <si>
    <t>J38N</t>
  </si>
  <si>
    <t>2A6515P00-HF2-H</t>
  </si>
  <si>
    <t>CUNJIN</t>
  </si>
  <si>
    <t>302C0303138</t>
  </si>
  <si>
    <t>2A6510U00-HYE-H</t>
  </si>
  <si>
    <t>SCREWTECH</t>
  </si>
  <si>
    <t>MRHMJ200550T-NMT</t>
  </si>
  <si>
    <t>47</t>
  </si>
  <si>
    <t>34033VR00-GRS-G</t>
  </si>
  <si>
    <t>CONN,NGFF,Key-M,Gen5,0.5mm,Gold 30u inch,White,SMD-67P,ROHS,HF</t>
  </si>
  <si>
    <t>APCIA260-P008TCC</t>
  </si>
  <si>
    <t>J39</t>
  </si>
  <si>
    <t>signal:SMD;shell:SMD;post:0.64+/-0.25;</t>
  </si>
  <si>
    <t>34033S200-67Y-G</t>
  </si>
  <si>
    <t>2E0BD23-S85WM-7H</t>
  </si>
  <si>
    <t>signal:SMD;shell:none;post:no mark;</t>
  </si>
  <si>
    <t>48</t>
  </si>
  <si>
    <t>2A651SD00-GB3-G</t>
  </si>
  <si>
    <t>Nut,Diameter:7.0mm,High:9.65mm,SMD,ROHS,HF</t>
  </si>
  <si>
    <t>70-4020-965-MK-1215MS</t>
  </si>
  <si>
    <t>J39N-5,J40N-5</t>
  </si>
  <si>
    <t>49</t>
  </si>
  <si>
    <t>34034BU00-67Y-G</t>
  </si>
  <si>
    <t>CONN,NGFF,Key-M,Gen5,0.5mm,Gold 30u inch,Black,SMD-67P,ROHS,HF</t>
  </si>
  <si>
    <t>2E0BD23-S85BM-7H</t>
  </si>
  <si>
    <t>J40</t>
  </si>
  <si>
    <t>signal:SMD;shell:SMD;post:none;</t>
  </si>
  <si>
    <t>34034KS00-GRS-G</t>
  </si>
  <si>
    <t>APCI0036-P008TC</t>
  </si>
  <si>
    <t>50</t>
  </si>
  <si>
    <t>34032Y200-67Y-H</t>
  </si>
  <si>
    <t>CONN,Slot,PCIE-X16,Gen5,1mm,Gold 30u inch,Black+Blue_661C,SMD-164P,ROHS,HF</t>
  </si>
  <si>
    <t>2EHA823-889BL-3H</t>
  </si>
  <si>
    <t>J41</t>
  </si>
  <si>
    <t>signal:SMD;shell:2.76+/-0.25;post:none</t>
  </si>
  <si>
    <t>34033WS00-38K-G</t>
  </si>
  <si>
    <t>574ZD4-037H4100T</t>
  </si>
  <si>
    <t>signal:SMD;shell:2.76+/-0.15;post:None;</t>
  </si>
  <si>
    <t>34033WP00-62G-G</t>
  </si>
  <si>
    <t>JOINSOON</t>
  </si>
  <si>
    <t>121P-C6T2-Y4CT</t>
  </si>
  <si>
    <t>52</t>
  </si>
  <si>
    <t>34033CS00-67Y-G</t>
  </si>
  <si>
    <t>CONN,NGFF,Key-M,0.5mm,Gold 30u inch,Black,SMD-67P,ROHS,HF</t>
  </si>
  <si>
    <t>2E0BD23-S40BM-7H</t>
  </si>
  <si>
    <t>J46</t>
  </si>
  <si>
    <t>signal:SMD;shell:SMD;post:0.50+/-0.15</t>
  </si>
  <si>
    <t>340348U00-GRS-G</t>
  </si>
  <si>
    <t>APCIA100-P008TCC</t>
  </si>
  <si>
    <t>53</t>
  </si>
  <si>
    <t>2A651KT00-G7Y-G</t>
  </si>
  <si>
    <t>Nut,Diameter:6.50mm,High:5.6mm,SMD,ROHS,HF</t>
  </si>
  <si>
    <t>YONG-QIANG</t>
  </si>
  <si>
    <t>YQ20240613-01</t>
  </si>
  <si>
    <t>J46N-2</t>
  </si>
  <si>
    <t>2A651KT01-HYE-G</t>
  </si>
  <si>
    <t>MRHMN200560T-NMT-750</t>
  </si>
  <si>
    <t>56</t>
  </si>
  <si>
    <t>34048DW00-H59-G</t>
  </si>
  <si>
    <t>CONN,JACK,Audio,HDA,AUDX1,Dia=3.5mm,Gold 30u inch,Black,DIP-6P,ROHS,HF</t>
  </si>
  <si>
    <t>SINGATRON</t>
  </si>
  <si>
    <t>2SJ3088-051211F</t>
  </si>
  <si>
    <t>J76</t>
  </si>
  <si>
    <t>signal:1.8+/-0.25;shell:1.8+/-0.25;post:0.95+/-0.25</t>
  </si>
  <si>
    <t>34048DY00-67Y-G</t>
  </si>
  <si>
    <t>JA41133-34B0B-7H</t>
  </si>
  <si>
    <t>signal:1.8+/-0.15;shell:1.8+/-0.15;post:1.0+/-0.25</t>
  </si>
  <si>
    <t>34048DQ00-16H-G</t>
  </si>
  <si>
    <t>FREEPORT</t>
  </si>
  <si>
    <t>69L06S-39R0065HF</t>
  </si>
  <si>
    <t>signal:1.8+/-0.25;shell:1.8+/-0.25;post:1.08+/-0.25</t>
  </si>
  <si>
    <t>34048DP00-62G-G</t>
  </si>
  <si>
    <t>12RJ-K06B-Q7CR</t>
  </si>
  <si>
    <t>57</t>
  </si>
  <si>
    <t>340483N00-600-G</t>
  </si>
  <si>
    <t>CONN,I/O Port,USB3.1X1,1.0mm,Pd/Ni 30u inch+Gold 5u inch,Black,SMD-10P,ROHS,HF</t>
  </si>
  <si>
    <t>FOXCONN</t>
  </si>
  <si>
    <t>UAA151C-43452-7H</t>
  </si>
  <si>
    <t>J80,J81,J82,J83</t>
  </si>
  <si>
    <t>signal:SMD;shell:1.66+/-0.25;post:none</t>
  </si>
  <si>
    <t>34048AH00-03U-G</t>
  </si>
  <si>
    <t>CONN,I/O Port,USB3.1X1,1.0mm,Gold 30u inch,Black,SMD-10P,ROHS,HF</t>
  </si>
  <si>
    <t>FUCONN</t>
  </si>
  <si>
    <t>N3A-FF340SR9A3-B130</t>
  </si>
  <si>
    <t>signal：SMD;shell:1.66+/-0.2;post:none</t>
  </si>
  <si>
    <t>34048AJ00-62G-G</t>
  </si>
  <si>
    <t>12HU-A03B-13CR</t>
  </si>
  <si>
    <t>signal：SMD;shell:1.66+/-0.25;post:none</t>
  </si>
  <si>
    <t>58</t>
  </si>
  <si>
    <t>340483L00-67Y-G</t>
  </si>
  <si>
    <t>CONN,I/O Port,Type-C,0.5mm,Gold 30u inch,Black,SMD-24P,ROHS,HF</t>
  </si>
  <si>
    <t>UT11113-0340F-7H</t>
  </si>
  <si>
    <t>J90,J91</t>
  </si>
  <si>
    <t>signal:1.8+/-0.15;shell:1.8+/-0.15;post:1.1+/-0.15</t>
  </si>
  <si>
    <t>34048B600-GRS-G</t>
  </si>
  <si>
    <t>AUSBA310-P001ACC</t>
  </si>
  <si>
    <t>signal:1.8+/-0.15;shell:1.8+/-0.15;post:0.7+/-0.15</t>
  </si>
  <si>
    <t>34048AA00-H59-G</t>
  </si>
  <si>
    <t>2UB2Y28-C10111F</t>
  </si>
  <si>
    <t>signal:1.8+/-0.2;shell:2.4+/-0.2;post:1.0+/-0.2</t>
  </si>
  <si>
    <t>59</t>
  </si>
  <si>
    <t>21083W300-209-G</t>
  </si>
  <si>
    <t>IC,Type-C and Power Delivery Supported USB3.2 Gen2x1 Hub Controller,RTS5425-GR,QFN-88P,SMD,ROHS,HF</t>
  </si>
  <si>
    <t>REALTEK</t>
  </si>
  <si>
    <t>RTS5425-GR</t>
  </si>
  <si>
    <t>KU100</t>
  </si>
  <si>
    <t>60</t>
  </si>
  <si>
    <t>41051E200-233-H</t>
  </si>
  <si>
    <t>IC,2.3V-3.6V,2M-Bit CMOS MXSMIO Flash Memory,MX25V2033FM1I,SOP-8P,SMD,ROHS,HF</t>
  </si>
  <si>
    <t>MXIC</t>
  </si>
  <si>
    <t>MX25V2033FM1I</t>
  </si>
  <si>
    <t>KU101</t>
  </si>
  <si>
    <t>61</t>
  </si>
  <si>
    <t>71012C500-155-H</t>
  </si>
  <si>
    <t>XTAL,12MHz,+/-30ppm,CL=18pF,C0=3pF,Rs=100 Ohm,SMD,ROHS,HF</t>
  </si>
  <si>
    <t>HOSONIC</t>
  </si>
  <si>
    <t>E3SB12E000027E</t>
  </si>
  <si>
    <t>KY100</t>
  </si>
  <si>
    <t>71012CS00-098-H</t>
  </si>
  <si>
    <t>XTAL,12MHz,+/-30ppm,CL=18pF,C0=2pF,Rs=100 Ohm,SMD,ROHS,HF</t>
  </si>
  <si>
    <t>HELE</t>
  </si>
  <si>
    <t>X3S012000FI1H-HV</t>
  </si>
  <si>
    <t>710143Y00-180-G</t>
  </si>
  <si>
    <t>XTAL,12MHz,+/-30ppm,CL=18pF,C0=3pF,Rs=100 Ohm,SMD-4P,ROHS,HF</t>
  </si>
  <si>
    <t>SIWARD</t>
  </si>
  <si>
    <t>XTL571300-F113-035</t>
  </si>
  <si>
    <t>710129500-100-H</t>
  </si>
  <si>
    <t>TXC</t>
  </si>
  <si>
    <t>7M12090001</t>
  </si>
  <si>
    <t>62</t>
  </si>
  <si>
    <t>720409L00-024-H</t>
  </si>
  <si>
    <t>Common Filter,9 Ohm@100MHz,+/-3 Ohm,Irate=100mA,DCR=2.5 Ohm,2Line,SMD,ROHS,HF</t>
  </si>
  <si>
    <t>PANASONIC</t>
  </si>
  <si>
    <t>EXCX4CZ090X</t>
  </si>
  <si>
    <t>L1,L33,L34,L35,L36,L5,L7,L9</t>
  </si>
  <si>
    <t>72040C700-015-H</t>
  </si>
  <si>
    <t>Common Filter,9 Ohm@100MHz,+/-25%,Irate=100mA,DCR=2.375 Ohm,2Line,SMD0.65X0.5mm,ROHS,HF</t>
  </si>
  <si>
    <t>NFG0QHB372HS2D</t>
  </si>
  <si>
    <t>63</t>
  </si>
  <si>
    <t>520303T00-400-H</t>
  </si>
  <si>
    <t>DIODE,Schottky,Vf=1V,Vr= 30V,If(max)=200mA,Ir(max)=2uA,SOT23-3P,SMD,ROHS,HF</t>
  </si>
  <si>
    <t>LBAT54CLT1G</t>
  </si>
  <si>
    <t>LD100,SD900,SD901,SD902,SD903,SD904</t>
  </si>
  <si>
    <t>52032CU00-52N-G</t>
  </si>
  <si>
    <t>DIODE,Schottky,Vf=1V,Vr=30V,If(max)=200mA,Ir(max)=2uA,SOT23-3P,SMD,ROHS,HF</t>
  </si>
  <si>
    <t>BH-BAT54C</t>
  </si>
  <si>
    <t>520300U00-891-H</t>
  </si>
  <si>
    <t>DIODE,Schottky,Vf=0.8V,Vr=30V,If(max)=200mA,Ir(max)=2uA,SOT23-3P,SMD,ROHS,HF</t>
  </si>
  <si>
    <t>BAT54C</t>
  </si>
  <si>
    <t>520300300-237-H</t>
  </si>
  <si>
    <t>BAT54C-7-F</t>
  </si>
  <si>
    <t>520300U00-031-H</t>
  </si>
  <si>
    <t>NXP</t>
  </si>
  <si>
    <t>520300U00-280-H</t>
  </si>
  <si>
    <t>merge to handel avl</t>
  </si>
  <si>
    <t>520300U00-77W-G</t>
  </si>
  <si>
    <t>DIODE,Schottky,Vf=800mV,Vr=30V,If(max)=200mA,Ir(max)=2uA,SOT23-3P,SMD,ROHS,HF</t>
  </si>
  <si>
    <t>520324R00-60E-G</t>
  </si>
  <si>
    <t>DIODE,Schottky,Vf=800mV,Vr=30V,If(max)=300mA,Ir(max)=2uA,SOT23-3P,SMD,ROHS,HF</t>
  </si>
  <si>
    <t>BAT54LC-HAF</t>
  </si>
  <si>
    <t>64</t>
  </si>
  <si>
    <t>630133A00-015-G</t>
  </si>
  <si>
    <t>Chip Inductor,1uH@1MHz,+/-20%,Isat=3.6A,Irate=2.7A,DCR=57m Ohm,SMD0806,ROHS,HF</t>
  </si>
  <si>
    <t>DFE201610E-1R0M=P2</t>
  </si>
  <si>
    <t>LL100,PL803</t>
  </si>
  <si>
    <t>630134000-092-G</t>
  </si>
  <si>
    <t>Chip Inductor,1uH@1MHz,+/-20%,Isat=3.3A,Irate=3.0A,DCR=60m Ohm,SMD0806,ROHS,HF</t>
  </si>
  <si>
    <t>WIP201610S-1R0ML</t>
  </si>
  <si>
    <t>630157801-051-G</t>
  </si>
  <si>
    <t>Chip Inductor,1uH@2MHz,+/-20%,Isat=3.6A,Irate=2.7A,DCR=57m Ohm,SMD0806,ROHS,HF</t>
  </si>
  <si>
    <t>BDCC002016101R0MCZ</t>
  </si>
  <si>
    <t>66</t>
  </si>
  <si>
    <t>51032C400-400-H</t>
  </si>
  <si>
    <t>MOS N,L2N7002SLT1G,Vdss=60V,Id(max)=320mA@Ta=25C,Ciss=21pF,VGS(th)=2V,3.2 Ohm@Vgs=4.5V,SOT23-3P,SMD,ROHS,HF</t>
  </si>
  <si>
    <t>L2N7002SLT1G</t>
  </si>
  <si>
    <t>LQ101,PQ713,PQ714,PQ716,SQ1,SQ14,SQ5,SQ6,SQ801,SQ900,XQ2,XQ303,XQ5,XQ600,XQ601,XQ700,XQ702</t>
  </si>
  <si>
    <t>51032SE00-891-H</t>
  </si>
  <si>
    <t>MOS N,BR2N7002K2,Vdss=60V,Id(max)=380mA@Ta=25C,Ciss=50pF,VGS(th)=2.5V,2.7Ohm@Vgs=5V,SOT23-3P,SMD,ROHS,HF</t>
  </si>
  <si>
    <t>BR2N7002K2</t>
  </si>
  <si>
    <t>51034AH00-3L3-G</t>
  </si>
  <si>
    <t>MOS N,JMTL2N7002KS-P,Vdss=60V,Id(max)=400mA@Ta=25C,Ciss=18.5pF,VGS(th)=2V,2.87Ohm@Vgs=4.5V,SOT23-3P,SMD,ROHS,HF</t>
  </si>
  <si>
    <t>JJWDZ</t>
  </si>
  <si>
    <t>JMTL2N7002KS-P</t>
  </si>
  <si>
    <t>51032YC00-280-H</t>
  </si>
  <si>
    <t>MOS N,Vdss=60V,Id(max)=300mA@Ta=25C,Ciss=35pF,VGS(th)=2.5V,4 Ohm@Vgs=4.5V,SOT23-3P,SMD,ROHS,HF</t>
  </si>
  <si>
    <t>2N7002KS</t>
  </si>
  <si>
    <t>51033L500-77W-G</t>
  </si>
  <si>
    <t>MOS N,2N7002K,Vdss=60V,Id(max)=340mA@Ta=25C,Ciss=44pF,VGS(th)=2.5V,3Ohm@Vgs=4.5V,SOT23-3P,SMD,ROHS,HF</t>
  </si>
  <si>
    <t>2N7002K</t>
  </si>
  <si>
    <t>51032BK00-60E-H</t>
  </si>
  <si>
    <t>MOS N,MMBT7002K-HAF,Vdss=60V,Id(max)=300mA,Ciss=50pF,VGS(th)=2.5V,4 Ohm@Vgs=4.5V,SOT23-3P,SMD,ROHS,HF</t>
  </si>
  <si>
    <t>MMBT7002K-HAF</t>
  </si>
  <si>
    <t>67</t>
  </si>
  <si>
    <t>32025KS00-237-H</t>
  </si>
  <si>
    <t>IC,2.0A SINGLE CHANNEL POWER DISTRIBUTION LOAD SWITCH,AP22818AKEWT-7,TSOT-5P,SMD,RoHS,HF</t>
  </si>
  <si>
    <t>AP22818AKEWT-7</t>
  </si>
  <si>
    <t>LU1,UU1,UU20,UU90,VU5,XU6</t>
  </si>
  <si>
    <t>320253E00-279-H</t>
  </si>
  <si>
    <t>IC,USB Power-Distribution Switches,APL3553ABI-TRG,SOT23-5P,SMD,ROHS,HF</t>
  </si>
  <si>
    <t>ANPEC</t>
  </si>
  <si>
    <t>APL3553ABI-TRG</t>
  </si>
  <si>
    <t>32027UV00-2U4-G</t>
  </si>
  <si>
    <t>IC,Single Power Switch with Flag,ITP1133-2SOTA,SOT23-5P,SMD,RoHS,HF</t>
  </si>
  <si>
    <t>ITG SEMI</t>
  </si>
  <si>
    <t>ITP1133-2SOTA</t>
  </si>
  <si>
    <t>320250S00-JS8-H</t>
  </si>
  <si>
    <t>IC,50mOhm,Single Power Switch With Flag,JW7115S-2SOTA#TRPBF,SOT23-5P,SMD,ROHS,HF</t>
  </si>
  <si>
    <t>JOULWATT</t>
  </si>
  <si>
    <t>JW7115S-2SOTA#TRPBF</t>
  </si>
  <si>
    <t>320242B00-264-G</t>
  </si>
  <si>
    <t>IC,55m Ohm,2A High-Side Power Switches With Flag,RT9742CGJ5F,TSOT23-5P,SMD,ROHS,HF</t>
  </si>
  <si>
    <t>RICHTEK</t>
  </si>
  <si>
    <t>RT9742CGJ5F</t>
  </si>
  <si>
    <t>32024Q700-15M-H</t>
  </si>
  <si>
    <t>IC,Low Loss Power Distribution Switch,SY6288C20AAC,SOT23-5P,SMD,ROHS,HF</t>
  </si>
  <si>
    <t>SY6288C20AAC</t>
  </si>
  <si>
    <t>320287600-31C-G</t>
  </si>
  <si>
    <t>IC,75mohm,Current Limited,High-Side Power Switches,WS4618EDA-5/TR,SOT23-5P,SMD,RoHS,HF</t>
  </si>
  <si>
    <t>WS4618EDA-5/TR</t>
  </si>
  <si>
    <t>68</t>
  </si>
  <si>
    <t>T-NQJ0001-G</t>
  </si>
  <si>
    <t>IC,Ethernet Controller,I226-LM,S-spec:SRKTT,VQFN-56P,SMD,ROHS,HF</t>
  </si>
  <si>
    <t>INTEL</t>
  </si>
  <si>
    <t>I226-LM[SRKTT]</t>
  </si>
  <si>
    <t>LU100</t>
  </si>
  <si>
    <t>69</t>
  </si>
  <si>
    <t>31010YW00-JQ8-G</t>
  </si>
  <si>
    <t>IC,Single 2-input AND gate,74LVC1G08GW,125,TSSOP-5P,SMD,RoHS,HF</t>
  </si>
  <si>
    <t>74LVC1G08GW,125</t>
  </si>
  <si>
    <t>LU101,SU2,XU2,XU302,XU700</t>
  </si>
  <si>
    <t>31011AF00-400-G</t>
  </si>
  <si>
    <t>IC,Single 2-input AND gate,LR74LVC1G08GW,SOT353-5P,SMD,RoHS,HF</t>
  </si>
  <si>
    <t>LR74LVC1G08GW</t>
  </si>
  <si>
    <t>310103J00-223-H</t>
  </si>
  <si>
    <t>IC,Single 2-Input And Gate,NL17SZ08DFT2G,SOT353-5P,SMD,ROHS,HF</t>
  </si>
  <si>
    <t>NL17SZ08DFT2G</t>
  </si>
  <si>
    <t>310114C00-01Y-G</t>
  </si>
  <si>
    <t>IC,SINGLE 2-INPUT AND GATE,SLP74LVC1G08KMTR,SOT353-5P,SMD,RoHS,HF</t>
  </si>
  <si>
    <t>SLP74LVC1G08KMTR</t>
  </si>
  <si>
    <t>310102100-183-H</t>
  </si>
  <si>
    <t>IC,Single 2-Input Positive-And Gate,SN74LVC1G08DCKR,SC70-5P,SMD,ROHS,HF</t>
  </si>
  <si>
    <t>SN74LVC1G08DCKR</t>
  </si>
  <si>
    <t>310112T00-234-H</t>
  </si>
  <si>
    <t>IC,2-INPUT AND GATE,U74LVC1G08G-AL5-R,SOT353-5P,SMD,RoHS,HF</t>
  </si>
  <si>
    <t>U74LVC1G08G-AL5-R</t>
  </si>
  <si>
    <t>70</t>
  </si>
  <si>
    <t>410513500-233-H</t>
  </si>
  <si>
    <t>IC,2.3V-3.6V,16M-Bit X1/X2/X4 CMOS MXSMIO Flash Memory,MX25V1635FM1I,SOP-8P,SMD,ROHS,HF</t>
  </si>
  <si>
    <t>MX25V1635FM1I</t>
  </si>
  <si>
    <t>LU102</t>
  </si>
  <si>
    <t>41051J800-36F-G</t>
  </si>
  <si>
    <t>IC,2.7V-3.6V,16M-Bit Uniform Sector Dual and Quad Serial Flash,GD25Q16ETIGR,SOP-8P,SMD,ROHS,HF</t>
  </si>
  <si>
    <t>GIGADEVICE</t>
  </si>
  <si>
    <t>GD25Q16ETIGR</t>
  </si>
  <si>
    <t>41051P600-205-G</t>
  </si>
  <si>
    <t>IC,3V 16M-Bit Serial Flash Memory With Dual/Quad SPI&amp;QPI,W25Q16RVSNJQ,SOIC-8P,SMD,ROHS,HF</t>
  </si>
  <si>
    <t>WINBOND</t>
  </si>
  <si>
    <t>W25Q16RVSNJQ</t>
  </si>
  <si>
    <t>71</t>
  </si>
  <si>
    <t>71012A800-155-H</t>
  </si>
  <si>
    <t>XTAL,25MHz,+/-20ppm,CL=18pF,C0=3pF,Rs=20 Ohm,SMD-4P,ROHS,HF</t>
  </si>
  <si>
    <t>E3SB25E000065E</t>
  </si>
  <si>
    <t>LY100</t>
  </si>
  <si>
    <t>71013BG00-0G5-G</t>
  </si>
  <si>
    <t>FAITH LONG</t>
  </si>
  <si>
    <t>3S250F1017</t>
  </si>
  <si>
    <t>71012A900-098-H</t>
  </si>
  <si>
    <t>XTAL,25MHz,+/-20ppm,CL=18pF,C0=2pF,Rs=20 Ohm,SMD-4P,ROHS,HF</t>
  </si>
  <si>
    <t>X3S025000DI1H-HW</t>
  </si>
  <si>
    <t>71013GW00-180-G</t>
  </si>
  <si>
    <t>XTAL,25MHz,+/-10ppm,CL=18pF,C0=3pF,Rs=20 Ohm,SMD-4P,ROHS,HF</t>
  </si>
  <si>
    <t>XTL571200-X12-113</t>
  </si>
  <si>
    <t>710129E00-100-H</t>
  </si>
  <si>
    <t>XTAL,25MHz,+/-20ppm,CL=18pF,C0=5pF,Rs=20 Ohm,SMD-4P,ROHS,HF</t>
  </si>
  <si>
    <t>7M25000137</t>
  </si>
  <si>
    <t>73</t>
  </si>
  <si>
    <t>31100BH00-237-G</t>
  </si>
  <si>
    <t>IC,2-Bits BIDIRECTIONAL LEVEL TRANSLATOR,LSF0102HK3-7,DFN-8P,SMD,RoHS,HF</t>
  </si>
  <si>
    <t>LSF0102HK3-7</t>
  </si>
  <si>
    <t>MU1,VU104,VU9,XU301</t>
  </si>
  <si>
    <t>31100C600-JQ8-G</t>
  </si>
  <si>
    <t>IC,2-bit bidirectional multi-voltage level translator,LSF0102GS,XSON-8P,SMD,ROHS,HF</t>
  </si>
  <si>
    <t>LSF0102GS</t>
  </si>
  <si>
    <t>31100BQ00-3SA-G</t>
  </si>
  <si>
    <t>IC,Dual Bidirectional I2C Bus and SMBus Voltage-Level Translator,SGM4551YXDO8G/TR,TDFN-8P,SMD,RoHS,HF</t>
  </si>
  <si>
    <t>SGMICRO</t>
  </si>
  <si>
    <t>SGM4551YXDO8G/TR</t>
  </si>
  <si>
    <t>311005E00-183-G</t>
  </si>
  <si>
    <t>IC,2Channel Bidirectional Multi-Voltage Level Translator,LSF0102DQER,SON-8P,SMD,RoHS,HF</t>
  </si>
  <si>
    <t>LSF0102DQER</t>
  </si>
  <si>
    <t>31100C500-234-G</t>
  </si>
  <si>
    <t>IC,2CHANNEL AUTO-BIDIRECTIONAL MULTI-VOLTAGE LEVEL TRANSLATOR,ULSF0102AG-KAD-R,X2DFN1410-8P,SMD,RoHS,HF</t>
  </si>
  <si>
    <t>ULSF0102AG-KAD-R</t>
  </si>
  <si>
    <t>74</t>
  </si>
  <si>
    <t>32014RG00-264-H</t>
  </si>
  <si>
    <t>IC,2uA Iq,300mA Low-Dropout Linear Regulator,RT9078N-08GJ5,TSOT23-5P,SMD,ROHS,HF</t>
  </si>
  <si>
    <t>RT9078N-08GJ5</t>
  </si>
  <si>
    <t>MU2</t>
  </si>
  <si>
    <t>320151300-279-H</t>
  </si>
  <si>
    <t>IC,Adjustable Low Dropout 300mA Linear Regulator,APL5324ABI-TRG,SOT23-5P,SMD,ROHS,HF</t>
  </si>
  <si>
    <t>APL5324ABI-TRG</t>
  </si>
  <si>
    <t>32015Y900-237-G</t>
  </si>
  <si>
    <t>IC,300mA,LOW QUIESCENT CURRENT,FAST TRANSIENT  LOW DROPOUT LINEAR REGULATOR,AP7335-WG-7,SOT25-5P,SMD,RoHS,HF</t>
  </si>
  <si>
    <t>AP7335-WG-7</t>
  </si>
  <si>
    <t>32015BJ00-710-G</t>
  </si>
  <si>
    <t>IC,300mA Low Noise LDO with  Adjustable Output Function,FP6186S5,SOT23-5P,SMD,RoHS,HF</t>
  </si>
  <si>
    <t>FITI</t>
  </si>
  <si>
    <t>FP6186S5</t>
  </si>
  <si>
    <t>75</t>
  </si>
  <si>
    <t>2A6515G00-GB3-H</t>
  </si>
  <si>
    <t>Screw,Diameter:4.0mm,High:6.4mm,SMD,ROHS,HF</t>
  </si>
  <si>
    <t>40-2020-64-R522</t>
  </si>
  <si>
    <t>NUT3,NUT4</t>
  </si>
  <si>
    <t>2A6510F00-HF2-H</t>
  </si>
  <si>
    <t>302C0301080</t>
  </si>
  <si>
    <t>2A6515N00-HYE-H</t>
  </si>
  <si>
    <t>MRHMJ200640T-NMT</t>
  </si>
  <si>
    <t>84</t>
  </si>
  <si>
    <t>34132PP00-600-G</t>
  </si>
  <si>
    <t>CONN,Board To Board,0.4mm,Gold 15u inch,Black,SMD-120P,ROHS,HF</t>
  </si>
  <si>
    <t>QT41A27-24201-9H</t>
  </si>
  <si>
    <t>P72</t>
  </si>
  <si>
    <t>signal:SMD;shell:none;post:0.60+/-0.2;</t>
  </si>
  <si>
    <t>34132WV00-GVQ-G</t>
  </si>
  <si>
    <t>CONN,Board-to-Board,0.4mm,Gold 15u inch,Black,SMD-120P,ROHS,HF</t>
  </si>
  <si>
    <t>51085-1207C-N01</t>
  </si>
  <si>
    <t>signal:SMD;shell:none;post:0.60+/-0.20;</t>
  </si>
  <si>
    <t>85</t>
  </si>
  <si>
    <t>3406J5000-786-G</t>
  </si>
  <si>
    <t>CONN,Wire-to-Board Header,0.5mm,Gold 15u inch,Black,SMD-40P,ROHS,HF</t>
  </si>
  <si>
    <t>STARCONN</t>
  </si>
  <si>
    <t>115B40-000000-G7-R</t>
  </si>
  <si>
    <t>P73</t>
  </si>
  <si>
    <t>signal:SMD;shell:SMD;post:no mark;</t>
  </si>
  <si>
    <t>3406JBM00-67Y-G</t>
  </si>
  <si>
    <t>GS12407-10114-9H</t>
  </si>
  <si>
    <t>signal:SMD;shell:SMD;post:0.65+/-0.20;</t>
  </si>
  <si>
    <t>3406JCC00-03U-G</t>
  </si>
  <si>
    <t>V01-F140S5-LABHR</t>
  </si>
  <si>
    <t>87</t>
  </si>
  <si>
    <t>3406J6A00-GVQ-G</t>
  </si>
  <si>
    <t>CONN,Wire-to-Board Header,1.25mm,Gold 15u inch,Natural,SMD-4P,ROHS,HF</t>
  </si>
  <si>
    <t>51241-0047C-002</t>
  </si>
  <si>
    <t>P125</t>
  </si>
  <si>
    <t>3406JEW00-16H-G</t>
  </si>
  <si>
    <t>96U04P-07R0019HF</t>
  </si>
  <si>
    <t>3406JFH00-03U-G</t>
  </si>
  <si>
    <t>11251W00-4P-S-E-5GE-HF-R1</t>
  </si>
  <si>
    <t>90</t>
  </si>
  <si>
    <t>34132G500-GVQ-H</t>
  </si>
  <si>
    <t>CONN,Board To Board,0.5mm,Gold Flash,Natural,SMD-20P,ROHS,HF</t>
  </si>
  <si>
    <t>50044-02001-004</t>
  </si>
  <si>
    <t>P666,P667</t>
  </si>
  <si>
    <t>92</t>
  </si>
  <si>
    <t>T-SERENONDB1-575-G</t>
  </si>
  <si>
    <t>6-Layer PCB,Color With Red Soldermask, Yellow Silkscreen,NPG-151,205.95*302*1.55mm,Rev X1,ROHS,HF</t>
  </si>
  <si>
    <t>PI</t>
  </si>
  <si>
    <t>HP10066065</t>
  </si>
  <si>
    <t>PCB-SFF1</t>
  </si>
  <si>
    <t>T-SERENONDB1-491-G</t>
  </si>
  <si>
    <t>GBM</t>
  </si>
  <si>
    <t>Q183-6821-V1.0</t>
  </si>
  <si>
    <t>T-SERENONDB1-535-G</t>
  </si>
  <si>
    <t>HANNSTAR</t>
  </si>
  <si>
    <t>15C0164-1</t>
  </si>
  <si>
    <t>T-SERENONDB1-599-G</t>
  </si>
  <si>
    <t>TRUSTECH</t>
  </si>
  <si>
    <t>KE027-242A</t>
  </si>
  <si>
    <t>96</t>
  </si>
  <si>
    <t>520307E00-400-H</t>
  </si>
  <si>
    <t>DIODE,Schottky,Vf=1V,Vr=30V,If(max)=200mA,Ir(max)=2uA,SOD323-2P,SMD,ROHS,HF</t>
  </si>
  <si>
    <t>LBAT54HT1G</t>
  </si>
  <si>
    <t>PD440</t>
  </si>
  <si>
    <t>52032CG00-52N-G</t>
  </si>
  <si>
    <t>DIODE,Schottky,Vf=0.8V,Vr=30V,If(max)=200mA,Ir(max)=2uA,SOD323-2P,SMD,ROHS,HF</t>
  </si>
  <si>
    <t>BH-SD30230</t>
  </si>
  <si>
    <t>52031R700-891-G</t>
  </si>
  <si>
    <t>BAT54J</t>
  </si>
  <si>
    <t>520304B00-237-H</t>
  </si>
  <si>
    <t>DIODE,Schottky,Vf=1V,Vr= 30V,If(max)= 200mA,Ir(max)=2uA,SOD323-2P,SMD,ROHS,HF</t>
  </si>
  <si>
    <t>BAT54WS-7-F</t>
  </si>
  <si>
    <t>52032EA00-3L3-G</t>
  </si>
  <si>
    <t>DIODE,Schottky,Vf=0.6V,Vr=30V,If(max)=200mA,Ir(max)=2uA,SOD323-2P,SMD,ROHS,HF</t>
  </si>
  <si>
    <t>JSPD0230A</t>
  </si>
  <si>
    <t>520303500-223-H</t>
  </si>
  <si>
    <t>BAT54HT1G</t>
  </si>
  <si>
    <t>520103H00-280-H</t>
  </si>
  <si>
    <t>DIODE,Schottky,Vf=0.32V,Vr=30V,If(max)=200mA,Ir(max)=2uA,SOD323-2P,SMD,ROHS,HF</t>
  </si>
  <si>
    <t>BAT54WS</t>
  </si>
  <si>
    <t>520329400-60E-G</t>
  </si>
  <si>
    <t>BAT54SWS-HAF</t>
  </si>
  <si>
    <t>97</t>
  </si>
  <si>
    <t>720107Y01-074-H</t>
  </si>
  <si>
    <t>FB,30 Ohm@100MHz,+/-25%,Irate=6A,DCR=12m Ohm,SMD0805,ROHS,HF</t>
  </si>
  <si>
    <t>BBUP00201209300Y00</t>
  </si>
  <si>
    <t>PFB200,PFB201,PFB202,PFB203,PFB204,PFB220,PFB221,PFB222,PFB223,PFB420,PFB652,PFB653,PFB654,PFB655,PFB781,PFB900,PFB901,PFB902,PFB903</t>
  </si>
  <si>
    <t>72010A700-092-G</t>
  </si>
  <si>
    <t>FB,30 Ohm@100MHz,+/-25%,Irate=6A,DCR=15m Ohm,SMD0805,ROHS,HF</t>
  </si>
  <si>
    <t>MHC2012S300WBP</t>
  </si>
  <si>
    <t>720119800-015-H</t>
  </si>
  <si>
    <t>FB,30 Ohm@100MHz,+/-10 Ohm,Irate=6000mA,DCR=4m Ohm,SMD0805,ROHS,HF</t>
  </si>
  <si>
    <t>BLM21SN300SN1D</t>
  </si>
  <si>
    <t>72010AC01-059-H</t>
  </si>
  <si>
    <t>FB,30 Ohm@100MHz,+/-25%,Irate=6A,DCR=10m Ohm,SMD0805,ROHS,HF</t>
  </si>
  <si>
    <t>FHB2012KF-300T60</t>
  </si>
  <si>
    <t>98</t>
  </si>
  <si>
    <t>720104100-074-H</t>
  </si>
  <si>
    <t>FB,60 Ohm@100MHz,+/-25%,Irate=3A,DCR=30m Ohm,SMD0805,ROHS,HF</t>
  </si>
  <si>
    <t>PBY201209T-600Y-N</t>
  </si>
  <si>
    <t>PFB300,PFB330,PFB470,PFB520,PFB560</t>
  </si>
  <si>
    <t>720102E00-092-G</t>
  </si>
  <si>
    <t>FB,60 Ohm@100MHz,+/-25%,Irate=3000mA,DCR=40m Ohm,SMD0805,ROHS,HF</t>
  </si>
  <si>
    <t>MHC2012S600QBP</t>
  </si>
  <si>
    <t>720102E00-059-H</t>
  </si>
  <si>
    <t>FB,60 Ohm@100MHz,+/-25%,Irate=3A,DCR=40m Ohm,SMD0805,ROHS,HF</t>
  </si>
  <si>
    <t>HCB2012KF-600T30</t>
  </si>
  <si>
    <t>99</t>
  </si>
  <si>
    <t>720106W00-074-H</t>
  </si>
  <si>
    <t>FB,30 Ohm@100MHz,+/-25%,Irate=3A,DCR=30m Ohm,SMD0603,ROHS,HF</t>
  </si>
  <si>
    <t>PBY160808T-300Y-N</t>
  </si>
  <si>
    <t>PFB500,PFB501</t>
  </si>
  <si>
    <t>72011GA00-092-G</t>
  </si>
  <si>
    <t>FB,30 Ohm@100MHz,+/-25%,Irate=3A,DCR=40m Ohm,SMD0603,ROHS,HF</t>
  </si>
  <si>
    <t>MHC1608S300QBP</t>
  </si>
  <si>
    <t>720109R00-015-G</t>
  </si>
  <si>
    <t>FB,30 Ohm@100MHz,+/-25%,Irate=3.3A,DCR=15m Ohm,SMD0603,ROHS,HF</t>
  </si>
  <si>
    <t>BLM18KG300TN1D</t>
  </si>
  <si>
    <t>72010NJ00-059-H</t>
  </si>
  <si>
    <t>HCB1608KF-300T30</t>
  </si>
  <si>
    <t>101</t>
  </si>
  <si>
    <t>63039Q100-051-G</t>
  </si>
  <si>
    <t>Power Choke,150nH@100KHz,+/-15%,Isat=70A,Irate=40A,DCR=660u Ohm,SHLD,SMD,ROHS,HF</t>
  </si>
  <si>
    <t>BMCBGX070740R15LAG</t>
  </si>
  <si>
    <t>PL210,PL220,PL230,PL240,PL250,PL260,PL270,PL280,PL290,PL610,PL620,PL785</t>
  </si>
  <si>
    <t>63039Q100-67M-G</t>
  </si>
  <si>
    <t>LIANZHEN</t>
  </si>
  <si>
    <t>SICP0704S-R15L-HH2W</t>
  </si>
  <si>
    <t>63039VB00-045-G</t>
  </si>
  <si>
    <t>TRIO</t>
  </si>
  <si>
    <t>EM-15BL35VC1</t>
  </si>
  <si>
    <t>102</t>
  </si>
  <si>
    <t>63036YS00-129-H</t>
  </si>
  <si>
    <t>Power Choke,1.5uH@100KHz,+/-20%,Isat=20A,Irate=10A,DCR=8.5m Ohm,SHLD,SMD,ROHS,HF</t>
  </si>
  <si>
    <t>MAGLAYERS</t>
  </si>
  <si>
    <t>MHT-06DZ-1R5M-R1-C3</t>
  </si>
  <si>
    <t>PL305</t>
  </si>
  <si>
    <t>63037CE00-67M-H</t>
  </si>
  <si>
    <t>Power Choke,1.5uH@100KHz,+/-20%,Isat=17A,Irate=11A,DCR=8.5m Ohm,SHLD,SMD,ROHS,HF</t>
  </si>
  <si>
    <t>SICP0640S-1R5M-HH2W</t>
  </si>
  <si>
    <t>630392V00-83L-G</t>
  </si>
  <si>
    <t>TOPSUN</t>
  </si>
  <si>
    <t>PL060640X1R5MT02-STQF</t>
  </si>
  <si>
    <t>63037CD00-045-H</t>
  </si>
  <si>
    <t>EM-15AM18VC3</t>
  </si>
  <si>
    <t>103</t>
  </si>
  <si>
    <t>630379900-034-H</t>
  </si>
  <si>
    <t>CYNTEC</t>
  </si>
  <si>
    <t>CMMS064T-1R5MT</t>
  </si>
  <si>
    <t>PL331,PL421,PL565</t>
  </si>
  <si>
    <t>63037CC00-57M-H</t>
  </si>
  <si>
    <t>Power Choke,1.5uH@100KHz,+/-20%,Isat=20A,Irate=12A,DCR=8.5m Ohm,SHLD,SMD,ROHS,HF</t>
  </si>
  <si>
    <t>EATON</t>
  </si>
  <si>
    <t>MHCP0704V1-1R5-R</t>
  </si>
  <si>
    <t>63037CB00-129-H</t>
  </si>
  <si>
    <t>MMD-06DZM1R5M-X3-C3</t>
  </si>
  <si>
    <t>104</t>
  </si>
  <si>
    <t>630344S00-129-H</t>
  </si>
  <si>
    <t>Power Choke,1uH@100KHz,+/-30%,Isat=8A,Irate=4A,DCR=17m Ohm,SHLD,SMD,ROHS,HF</t>
  </si>
  <si>
    <t>MNR-4030-1R0N-E-C3</t>
  </si>
  <si>
    <t>PL380</t>
  </si>
  <si>
    <t>63038WS00-67M-G</t>
  </si>
  <si>
    <t>Power Choke,1.0uH@100KHz,+/-30%,Isat=7.5A,Irate=4.0A,DCR=17m Ohm,SHLD,SMD,ROHS,HF</t>
  </si>
  <si>
    <t>SPF-4030-1R0N-HH1W</t>
  </si>
  <si>
    <t>63038WT00-83L-G</t>
  </si>
  <si>
    <t>Power Choke,1.0uH@100KHz,+/-30%,Isat=5.26A,Irate=4.15A,DCR=18m Ohm,SHLD,SMD,ROHS,HF</t>
  </si>
  <si>
    <t>EB404030X1R0NX01-SYQF</t>
  </si>
  <si>
    <t>105</t>
  </si>
  <si>
    <t>630364G00-034-H</t>
  </si>
  <si>
    <t>Power Choke,470nH@100KHz,+/-20%,Isat=25A,Irate=19.5A,DCR=2.1m Ohm,SHLD,SMD,ROHS,HF</t>
  </si>
  <si>
    <t>CMML064T-R47MSQ</t>
  </si>
  <si>
    <t>PL471</t>
  </si>
  <si>
    <t>63036R801-129-H</t>
  </si>
  <si>
    <t>Power Choke,470nH@100KHz,+/-20%,Isat=27A,Irate=22A,DCR=2.9m Ohm,SHLD,SMD,ROHS,HF</t>
  </si>
  <si>
    <t>MMD-06DZFR47M-R2-C3</t>
  </si>
  <si>
    <t>106</t>
  </si>
  <si>
    <t>63039GG00-051-G</t>
  </si>
  <si>
    <t>Power Choke,330nH@100KHz,+/-20%,Isat=40A,Irate=38A,DCR=1.4m Ohm,SHLD,SMD,ROHS,HF</t>
  </si>
  <si>
    <t>BMMAGX060640R33MI3</t>
  </si>
  <si>
    <t>PL500,PL525</t>
  </si>
  <si>
    <t>63039GG00-67M-G</t>
  </si>
  <si>
    <t>SICP0640S-R33M-HH3W</t>
  </si>
  <si>
    <t>63039PV00-83L-G</t>
  </si>
  <si>
    <t>Power Choke,330nH@1MHz,+/-20%,Isat=40A,Irate=38A,DCR=1.4m Ohm,SHLD,SMD,ROHS,HF</t>
  </si>
  <si>
    <t>PL060640CR33MT15-SVQF</t>
  </si>
  <si>
    <t>107</t>
  </si>
  <si>
    <t>63012YF00-015-G</t>
  </si>
  <si>
    <t>Chip Inductor,1uH@1MHz,+/-20%,Isat=550mA,Irate=1300mA,DCR=163m Ohm,SMD0603,ROHS</t>
  </si>
  <si>
    <t>LQM18PN1R0MFHD</t>
  </si>
  <si>
    <t>PL801</t>
  </si>
  <si>
    <t>63015D300-051-G</t>
  </si>
  <si>
    <t>Chip Inductor,1.0uH@3MHz,+/-20%,Isat=500mA,Irate=1.3A,DCR=130m Ohm,SMD0603,ROHS,HF</t>
  </si>
  <si>
    <t>BKPE001608DZ1R0MA6</t>
  </si>
  <si>
    <t>109</t>
  </si>
  <si>
    <t>63037J600-129-H</t>
  </si>
  <si>
    <t>Power Choke,1.5uH@100KHz,+/-20%,Isat=22A,Irate=20A,DCR=3.02m Ohm,SHLD,SMD,ROHS,HF</t>
  </si>
  <si>
    <t>MMD-10EZM1R5M-X1-C3</t>
  </si>
  <si>
    <t>PL936,PL946</t>
  </si>
  <si>
    <t>63037HF00-034-H</t>
  </si>
  <si>
    <t>Power Choke,1.5uH@100KHz,+/-20%,Isat=27A,Irate=22A,DCR=3.0m Ohm,SHLD,SMD,ROHS,HF</t>
  </si>
  <si>
    <t>CMME105T-1R5MS</t>
  </si>
  <si>
    <t>63037HE00-57M-H</t>
  </si>
  <si>
    <t>Power Choke,1.5uH@100KHz,+/-20%,Isat=33A,Irate=19A,DCR=3.0m Ohm,SHLD,SMD,ROHS,HF</t>
  </si>
  <si>
    <t>MHCP1104V1-1R5-R</t>
  </si>
  <si>
    <t>110</t>
  </si>
  <si>
    <t>51050J000-293-H</t>
  </si>
  <si>
    <t>MOS N,Dual,Vdss=30V,VGS(th)=2.3V,Q1/Q2:Id(max)=36/83A@Tc=25C,Ciss=531/3685pF,14/3.8m Ohm@Vgs=4.5V,PDFN-8P,SMD,ROHS,HF</t>
  </si>
  <si>
    <t>NIKO</t>
  </si>
  <si>
    <t>PK650DY</t>
  </si>
  <si>
    <t>PQ520</t>
  </si>
  <si>
    <t>51050L400-262-H</t>
  </si>
  <si>
    <t>MOS N,Dual,AOND20334,Vdss=30V,VGS(th)=2.2V,Q1/Q2:Id(max)=28/36A@Tc=25C,Ciss=1037/2010pF,9.5/4.4m Ohm@Vgs=4.5V,DFN-8P,SMD,ROHS,HF</t>
  </si>
  <si>
    <t>AOND20334</t>
  </si>
  <si>
    <t>51050RM00-262-G</t>
  </si>
  <si>
    <t>MOS N,Dual,Vdss=30V,VGS(th)=2.2V,Q1/Q2:Id(max)=28A/36A@Tc=25C,Ciss=1037pF/2010pF,9.5/4.4m Ohm@Vgs=4.5V,DFN-8P,SMD, ROHS,HF</t>
  </si>
  <si>
    <t>AONY34304</t>
  </si>
  <si>
    <t>510509Q00-223-G</t>
  </si>
  <si>
    <t>MOS N,Dual,Vdss=30V,Q1/Q2:VGS(th)=2.7/3V,Id(max)=30/40A@Tc=25C,Ciss=1785/4310pF,11/3.5m Ohm@Vgs=4.5V,Power56-8P,SMD,ROHS,HF</t>
  </si>
  <si>
    <t>FDMS3604S</t>
  </si>
  <si>
    <t>111</t>
  </si>
  <si>
    <t>510333K00-262-H</t>
  </si>
  <si>
    <t>MOS N,Vdss=30V,Id(max)=53A@Tc=25C,Ciss=1000pF,VGS(th)=2.2V,9.5m Ohm@Vgs=4.5V,DFN-8P,SMD,ROHS,HF</t>
  </si>
  <si>
    <t>AONS36308FH</t>
  </si>
  <si>
    <t>PQ710,PQ715,PQ720,PQ725,PQ930,PQ940</t>
  </si>
  <si>
    <t>510341E00-293-G</t>
  </si>
  <si>
    <t>MOS N,PK718BA,Vdss=30V,Id(max)=51A@Tc=25C,Ciss=895pF,VGS(th)=3V,9.5m Ohm@Vgs=4.5V,PDFN5*6-8P,SMD,ROHS,HF</t>
  </si>
  <si>
    <t>PK718BA</t>
  </si>
  <si>
    <t>510331N00-293-H</t>
  </si>
  <si>
    <t>MOS N,Vdss=30V,Id(max)=51A@Tc=25C,Ciss=895pF,VGS(th)=3V,9.5m Ohm@Vgs=4.5V,PDFN-8P,SMD,ROHS,HF</t>
  </si>
  <si>
    <t>PK718BA0FH</t>
  </si>
  <si>
    <t>510335500-223-H</t>
  </si>
  <si>
    <t>MOS N,NTMFS4C910NBT1G,Vdss=30V,Id(max)=46A@Tc=25C,Ciss=987pF,VGS(th)=2.2V,9m Ohm@Vgs=4.5V,DFN-8P,SMD,ROHS,HF</t>
  </si>
  <si>
    <t>NTMFS4C910NBT1G</t>
  </si>
  <si>
    <t>112</t>
  </si>
  <si>
    <t>51040P300-293-H</t>
  </si>
  <si>
    <t>MOS P,PD517BA,Vdss=-30V,Id(max)=-55A,Ciss=2740pF,VGS(th)=-3V,19m Ohm@Vgs=-4.5V,TO252-3P,SMD,ROHS,HF</t>
  </si>
  <si>
    <t>PD517BA</t>
  </si>
  <si>
    <t>PQ750</t>
  </si>
  <si>
    <t>510413W00-262-H</t>
  </si>
  <si>
    <t>MOS P,AOD21357,Vdss=-30V,Id(max)=-70A@Tc=25C,Ciss=2830pF,VGS(th)=-2.3V,13m Ohm@Vgs=-4.5V,TO252-3P,SMD,ROHS,HF</t>
  </si>
  <si>
    <t>AOD21357</t>
  </si>
  <si>
    <t>510415E00-JU4-H</t>
  </si>
  <si>
    <t>MOS P,Vdss=-30V,Id(max)=-55A@Tc=25C,Ciss=3736pF,VGS(th)=-2V,19m Ohm@Vgs=-4.5V,TO252-3P,SMD,ROHS,HF</t>
  </si>
  <si>
    <t>NCEPOWER</t>
  </si>
  <si>
    <t>NCE30P55K</t>
  </si>
  <si>
    <t>510418M00-36G-H</t>
  </si>
  <si>
    <t>MOS P,SM4303PSUC-TRG,Vdss=-30V,Id(max)=-68A@Tc=25C,Ciss=2180pF,VGS(th)=-2.3V,15m Ohm@Vgs=-4.5V,TO252-3P,SMD,ROHS,HF</t>
  </si>
  <si>
    <t>SINOPOWER</t>
  </si>
  <si>
    <t>SM4303PSUC-TRG</t>
  </si>
  <si>
    <t>113</t>
  </si>
  <si>
    <t>510333T00-262-H</t>
  </si>
  <si>
    <t>MOS N,Vdss=30V,Id(max)=83A@Tc=25C,Ciss=1320pF,VGS(th)=2.2V,5.15m Ohm@Vgs=4.5V,DFN-8P,SMD,ROHS,HF</t>
  </si>
  <si>
    <t>AONS36303FH</t>
  </si>
  <si>
    <t>PQ935,PQ945</t>
  </si>
  <si>
    <t>510331P00-293-H</t>
  </si>
  <si>
    <t>MOS N,Vdss=30V,Id(max)=78A@Tc=25C,Ciss=2289pF,VGS(th)=2.35V,4m Ohm@Vgs=4.5V,PDFN-8P,SMD,ROHS,HF</t>
  </si>
  <si>
    <t>PK734BA0FH</t>
  </si>
  <si>
    <t>510335400-223-H</t>
  </si>
  <si>
    <t>MOS N,NTMFS4C906NBT1G,Vdss=30V,Id(max)=69A@Tc=25C,Ciss=1683pF,VGS(th)=2.1V,4.88m Ohm@Vgs=4.5V,DFN-8P,SMD,ROHS,HF</t>
  </si>
  <si>
    <t>NTMFS4C906NBT1G</t>
  </si>
  <si>
    <t>114</t>
  </si>
  <si>
    <t>611101703-015-G</t>
  </si>
  <si>
    <t>Thermistor,NTC,100K Ohm,+/-1%,100mW,B25/85,beta constant=4311K,beta tolerance=+/-1%,SMD0402,ROHS,HF</t>
  </si>
  <si>
    <t>NCU15WF104F60RC</t>
  </si>
  <si>
    <t>PR140,PR143,PR144</t>
  </si>
  <si>
    <t>611108700-056-G</t>
  </si>
  <si>
    <t>Thermistor,NTC,100K Ohm,+/-1%,170mW,B25/85,beta constant=4300K,beta tolerance=+/-1%,SMD0402,ROHS,HF</t>
  </si>
  <si>
    <t>TSM0A104F4301RZ</t>
  </si>
  <si>
    <t>611101700-056-H</t>
  </si>
  <si>
    <t>Thermistor,NTC,100K Ohm,+/-1%,170mW,B25/50,beta constant=4250K,beta tolerance=+/-1%,SMD0402,ROHS,HF</t>
  </si>
  <si>
    <t>TSM0B104F4251RZ</t>
  </si>
  <si>
    <t>611107B00-012-G</t>
  </si>
  <si>
    <t>JSNA104F425FAEWH</t>
  </si>
  <si>
    <t>611108000-012-G</t>
  </si>
  <si>
    <t>Thermistor,NTC,100K Ohm,+/-1%,170mW,B25/85,beta constant=4310K,beta tolerance=+/-1%,SMD0402,ROHS,HF</t>
  </si>
  <si>
    <t>JSNA104F431FBEWH</t>
  </si>
  <si>
    <t>115</t>
  </si>
  <si>
    <t>T-PPJ0001-G</t>
  </si>
  <si>
    <t>IC,Quadruple-Channel PWM Controller with PMBus Interface for Intel IMVP9.3 CPU CORE Power Supply,HP3700HDN-TB-AS022,WQFN-68P,SMD,RoHS,HF</t>
  </si>
  <si>
    <t>HP3700HDN-TB-AS022</t>
  </si>
  <si>
    <t>PU100</t>
  </si>
  <si>
    <t>116</t>
  </si>
  <si>
    <t>320286A00-262-G</t>
  </si>
  <si>
    <t>IC,High-Current, High-Performance DrMOS Power Module,AOZ5517RQI-03,QFN-31L,SMD,RoHS,HF</t>
  </si>
  <si>
    <t>AOZ5517RQI-03</t>
  </si>
  <si>
    <t>PU210,PU220,PU230,PU240,PU250,PU260,PU270,PU280,PU290,PU610,PU620</t>
  </si>
  <si>
    <t>117</t>
  </si>
  <si>
    <t>320276C00-262-G</t>
  </si>
  <si>
    <t>IC,28V/6A Synchronous EZBuck Regulator,AOZ2260HQI-10,QFN-22P,SMD,RoHS,HF</t>
  </si>
  <si>
    <t>AOZ2260HQI-10</t>
  </si>
  <si>
    <t>PU300,PU330,PU560</t>
  </si>
  <si>
    <t>320252H00-279-H</t>
  </si>
  <si>
    <t>IC,High Input Voltage 6A PWM Converter With Low Iq,APW8714E-FJQBI-TRG,TQFN-22P,SMD,ROHS,HF</t>
  </si>
  <si>
    <t>APW8714E-FJQBI-TRG</t>
  </si>
  <si>
    <t>320279600-412-G</t>
  </si>
  <si>
    <t>IC,High Efficiency 6A Synchronous Buck Converter,G5335DQZ1U,QFN-22P,SMD,RoHS,HF</t>
  </si>
  <si>
    <t>GMT</t>
  </si>
  <si>
    <t>G5335DQZ1U</t>
  </si>
  <si>
    <t>118</t>
  </si>
  <si>
    <t>32025MG00-264-H</t>
  </si>
  <si>
    <t>IC,3A, 1.2MHz, 5.5V Synchronous Step-Down Converter,RT5753ALGQW,WDFN-8P,SMD,RoHS,HF</t>
  </si>
  <si>
    <t>RT5753ALGQW</t>
  </si>
  <si>
    <t>PU380</t>
  </si>
  <si>
    <t>320150D00-279-H</t>
  </si>
  <si>
    <t>IC,3A 5V 1MHz Synchronous Buck Converter,APW8827B-FGQBI-TRG,TDFN-8P,SMD,ROHS,HF</t>
  </si>
  <si>
    <t>APW8827B-FGQBI-TRG</t>
  </si>
  <si>
    <t>320155N00-279-H</t>
  </si>
  <si>
    <t>IC,5V 1MHz Synchronous Buck Converter,APW8827BQBI-TRG,TDFN-8P,SMD,ROHS,HF</t>
  </si>
  <si>
    <t>APW8827BQBI-TRG</t>
  </si>
  <si>
    <t>32015C300-412-G</t>
  </si>
  <si>
    <t>IC,1MHz, 3A Synchronous Step-Down Regulator,G2822DRC1U,TDFN-8P,SMD,RoHS,HF</t>
  </si>
  <si>
    <t>G2822DRC1U</t>
  </si>
  <si>
    <t>119</t>
  </si>
  <si>
    <t>320276B00-262-G</t>
  </si>
  <si>
    <t>IC,28V/10A Synchronous EZBuck Regulator,AOZ2262HQI-10,QFN-22P,SMD,RoHS,HF</t>
  </si>
  <si>
    <t>AOZ2262HQI-10</t>
  </si>
  <si>
    <t>PU420,PU470</t>
  </si>
  <si>
    <t>32025K100-279-H</t>
  </si>
  <si>
    <t>IC,High Input Voltage 10A PWM Converter With Low Iq,APW8712E-FJQBI-TRG,TQFN-22P,SMD,RoHS,HF</t>
  </si>
  <si>
    <t>APW8712E-FJQBI-TRG</t>
  </si>
  <si>
    <t>320279500-412-G</t>
  </si>
  <si>
    <t>IC,High Efficiency 10A Synchronous Buck Converter,G5335FQZ1U,QFN-22P,SMD,RoHS,HF</t>
  </si>
  <si>
    <t>G5335FQZ1U</t>
  </si>
  <si>
    <t>120</t>
  </si>
  <si>
    <t>320282A00-264-G</t>
  </si>
  <si>
    <t>IC,17V,12A, ACOT High-Efficiency Synchronous Buck Converter,RTQ2812BGQWF,WQFN-21P,SMD,RoHS,HF</t>
  </si>
  <si>
    <t>RTQ2812BGQWF</t>
  </si>
  <si>
    <t>PU500</t>
  </si>
  <si>
    <t>32027D200-394-G</t>
  </si>
  <si>
    <t>IC,16V,12A,Synchronous Step-Down Converter with Adjustable Current Limit,MPQ8633AGLE-CFA2-Z,QFN-21P,SMD,RoHS,HF</t>
  </si>
  <si>
    <t>MPS</t>
  </si>
  <si>
    <t>MPQ8633AGLE-CFA2-Z</t>
  </si>
  <si>
    <t>32025L300-183-G</t>
  </si>
  <si>
    <t>IC,2.7-V to 16-V Input, 15-A Synchronous Buck Converter With Remote Sense, 3-V Internal LDO and Hiccup Current Limit,TPS548A28RWWR,VQFN-21P,SMD,RoHS,HF</t>
  </si>
  <si>
    <t>TPS548A28RWWR</t>
  </si>
  <si>
    <t>121</t>
  </si>
  <si>
    <t>320250M00-264-H</t>
  </si>
  <si>
    <t>IC,High Efficiency Single Synchronous Buck PWM Controller,RT8237HHGQW(2),WDFN-10P,SMD,ROHS,HF</t>
  </si>
  <si>
    <t>RT8237HHGQW(2)</t>
  </si>
  <si>
    <t>PU520</t>
  </si>
  <si>
    <t>320253W00-279-H</t>
  </si>
  <si>
    <t>IC,High-Performance Notebook PWM Controller,APW8828-FJQBI-TRG,TDFN-10P,SMD,ROHS,HF</t>
  </si>
  <si>
    <t>APW8828-FJQBI-TRG</t>
  </si>
  <si>
    <t>32027CM00-412-G</t>
  </si>
  <si>
    <t>IC,High-Speed Step-Down Controller,G5318RE1D,TDFN-10P,SMD,RoHS,HF</t>
  </si>
  <si>
    <t>G5318RE1D</t>
  </si>
  <si>
    <t>320216J00-183-H</t>
  </si>
  <si>
    <t>IC,High Performance,Single Synchronous Step-Down Controller For Notebook Power Supply,TPS51218DSCR,WSON-10P,SMD,ROHS,HF</t>
  </si>
  <si>
    <t>TPS51218DSCR</t>
  </si>
  <si>
    <t>122</t>
  </si>
  <si>
    <t>320285F00-394-G</t>
  </si>
  <si>
    <t>IC,28V,15A,Synchronous Step-Down Converter with 1-Bit VID and IMON Reporting,MP2961CGL-Z,QFN-19P,SMD,RoHS,HF</t>
  </si>
  <si>
    <t>MP2961CGL-Z</t>
  </si>
  <si>
    <t>PU780</t>
  </si>
  <si>
    <t>125</t>
  </si>
  <si>
    <t>520303Y00-400-H</t>
  </si>
  <si>
    <t>LBAT54ALT1G</t>
  </si>
  <si>
    <t>SD14</t>
  </si>
  <si>
    <t>52032CE00-52N-G</t>
  </si>
  <si>
    <t>BH-BAT54A</t>
  </si>
  <si>
    <t>520300W00-891-H</t>
  </si>
  <si>
    <t>BAT54A</t>
  </si>
  <si>
    <t>520300W00-77W-G</t>
  </si>
  <si>
    <t>520324S00-60E-G</t>
  </si>
  <si>
    <t>BAT54LA-HAF</t>
  </si>
  <si>
    <t>126</t>
  </si>
  <si>
    <t>630101500-059-H</t>
  </si>
  <si>
    <t>Chip Inductor,10uH@2MHz,+/-20%,Irate=125mA,DCR=700m Ohm,SMD0805,ROHS,HF</t>
  </si>
  <si>
    <t>FCH2012F-100M</t>
  </si>
  <si>
    <t>SL1</t>
  </si>
  <si>
    <t>630115P00-074-H</t>
  </si>
  <si>
    <t>Chip Inductor,10uH@2MHz,+/-20%,Irate=125mA,DCR=1000m Ohm,SMD0805,ROHS,HF</t>
  </si>
  <si>
    <t>CL201212T-100M-M-N125</t>
  </si>
  <si>
    <t>630157900-015-G</t>
  </si>
  <si>
    <t>Chip Inductor,10uH@1MHz,+/-20%,Isat=250mA,Irate=300mA,DCR=845m Ohm,SMD0805,ROHS,HF</t>
  </si>
  <si>
    <t>LQM21DN100M70L</t>
  </si>
  <si>
    <t>127</t>
  </si>
  <si>
    <t>51032SD00-280-H</t>
  </si>
  <si>
    <t>MOS N,PJA3416,Vdss=20V,Id(max)=5.8A@Ta=25C,Ciss=513pF,VGS(th)=1.2V,27m Ohm@Vgs=4.5V,SOT23-3P,SMD,ROHS,HF</t>
  </si>
  <si>
    <t>PJA3416</t>
  </si>
  <si>
    <t>SQ9</t>
  </si>
  <si>
    <t>51034A800-3L3-G</t>
  </si>
  <si>
    <t>MOS N,JMTL2312A-F,Vdss=20V,Id(max)=6.8A@Ta=25C,Ciss=713pF,VGS(th)=1V,21m Ohm@Vgs=4.5V,SOT23-3P,SMD,ROHS,HF</t>
  </si>
  <si>
    <t>JMTL2312A-F</t>
  </si>
  <si>
    <t>510347800-400-G</t>
  </si>
  <si>
    <t>MOS N,LN2322ELT1G-L,Vdss=20V,Id(max)=8A@Ta=25C,Ciss=1050pF,VGS(th)=1V,25m Ohm@Vgs=4.5V,SOT23-3P,SMD,ROHS,HF</t>
  </si>
  <si>
    <t>LN2322ELT1G-L</t>
  </si>
  <si>
    <t>510347100-JU4-G</t>
  </si>
  <si>
    <t>MOS N,NCE3420X,Vdss=20V,Id(max)=6A@Ta=25C,Ciss=655pF,VGS(th)=1.2V,33m Ohm@Vgs=4.5V,SOT23-3P,SMD,ROHS,HF</t>
  </si>
  <si>
    <t>NCE3420X</t>
  </si>
  <si>
    <t>128</t>
  </si>
  <si>
    <t>510413000-400-H</t>
  </si>
  <si>
    <t>MOS P,LP2305ALT1G,Vdss=-20V,Id(max)=-4A@Ta=25C,Ciss=1245pF,VGS(th)=-0.8V,68m Ohm@Vgs=-4.5V,SOT23-3P,SMD,ROHS,HF</t>
  </si>
  <si>
    <t>LP2305ALT1G</t>
  </si>
  <si>
    <t>SQ12,SQ13</t>
  </si>
  <si>
    <t>510419500-891-H</t>
  </si>
  <si>
    <t>MOS P,BRCS2305MC,Vdss=-20V,Id(max)=-3.5A@Ta=25C,Ciss=650pF,VGS(th)=-1.0V,40m Ohm@Vgs=-4.5V,SOT23-3P,SMD,ROHS,HF</t>
  </si>
  <si>
    <t>BRCS2305MC</t>
  </si>
  <si>
    <t>51041MN00-3L3-G</t>
  </si>
  <si>
    <t>MOS P,JMTL2305A-P,Vdss=-20V,Id(max)=-4.1A@Ta=25C,Ciss=830pF,VGS(th)=-1V,35m Ohm@Vgs=-4.5V,SOT23-3P,SMD,ROHS,HF</t>
  </si>
  <si>
    <t>JMTL2305A-P</t>
  </si>
  <si>
    <t>510417D00-280-G</t>
  </si>
  <si>
    <t>MOS P,PJA3415,Vdss=-20V,Id(max)=-4A@Ta=25C,Ciss=756pF,VGS(th)=-1.2V,57m Ohm@Vgs=-4.5V,SOT23-3P,SMD,ROHS,HF</t>
  </si>
  <si>
    <t>PJA3415</t>
  </si>
  <si>
    <t>51041JK00-77W-G</t>
  </si>
  <si>
    <t>MOS P,PW2305S,Vdss=-20V,Id(max)=-4.1A@Ta=25C,Ciss=806pF,VGS(th)=-1V,40m Ohm@Vgs=-4.5V,SOT23-3P,SMD,ROHS,HF</t>
  </si>
  <si>
    <t>PW2305S</t>
  </si>
  <si>
    <t>51041KF00-60E-G</t>
  </si>
  <si>
    <t>MOS P,MKA02P065U-HAF,Vdss=-20V,Id(max)=-3.7A@Ta=25C,Ciss=359pF,VGS(th)=-1.2V,65m Ohm@Vgs=-4.5V,SOT23-3P,SMD,ROHS,HF</t>
  </si>
  <si>
    <t>MKA02P065U-HAF</t>
  </si>
  <si>
    <t>129</t>
  </si>
  <si>
    <t>611102100-056-G</t>
  </si>
  <si>
    <t>Thermistor,NTC,10K Ohm,+/-1%,140mW,B25/85,beta constant=3435K,beta tolerance=+/-1%,SMD0201,ROHS,HF</t>
  </si>
  <si>
    <t>TSMAA103F34D1RZ</t>
  </si>
  <si>
    <t>SRT1,SRT10,SRT2,SRT4,SRT5,SRT6,SRT7,SRT8,SRT9</t>
  </si>
  <si>
    <t>611105800-015-G</t>
  </si>
  <si>
    <t>Thermistor,NTC,10K Ohm,+/-1%,100mW,B25/85,beta constant=3380K,beta tolerance=+/-1%,SMD0201,ROHS,HF</t>
  </si>
  <si>
    <t>NCP03XH103F05RL</t>
  </si>
  <si>
    <t>611107U00-012-G</t>
  </si>
  <si>
    <t>Thermistor,NTC,10K Ohm,+/-1%,100mW,B25/85,beta constant=3435K,beta tolerance=+/-1%,SMD0201,ROHS,HF</t>
  </si>
  <si>
    <t>JSNZ103F344FBBXG</t>
  </si>
  <si>
    <t>130</t>
  </si>
  <si>
    <t>32030P600-237-H</t>
  </si>
  <si>
    <t>IC,Low Power Low Offset Voltage Dual Comparators,AS393MTR-G1,SOIC-8P,SMD,ROHS,HF</t>
  </si>
  <si>
    <t>AS393MTR-G1</t>
  </si>
  <si>
    <t>SU1</t>
  </si>
  <si>
    <t>320328E00-90K-G</t>
  </si>
  <si>
    <t>IC,36V Low Power Dual Differential Comparators,LM393A-SR,SOP-8P,SMD,RoHS,HF</t>
  </si>
  <si>
    <t>3PEAK</t>
  </si>
  <si>
    <t>LM393A-SR</t>
  </si>
  <si>
    <t>320300F00-223-H</t>
  </si>
  <si>
    <t>IC,Low Offset Voltage Dual Comparators,LM393DR2G,SOIC-8P,SMD,ROHS,HF</t>
  </si>
  <si>
    <t>LM393DR2G</t>
  </si>
  <si>
    <t>320322P00-183-H</t>
  </si>
  <si>
    <t>IC,Dual Comparators,LM393BIDR,SOIC-8P,SMD,RoHS,HF</t>
  </si>
  <si>
    <t>LM393BIDR</t>
  </si>
  <si>
    <t>32030WG00-234-H</t>
  </si>
  <si>
    <t>IC,Dual Differential Comparator,LM393G-S08-R,SOIC-8P,SMD,ROHS,HF</t>
  </si>
  <si>
    <t>LM393G-S08-R</t>
  </si>
  <si>
    <t>32032KH00-82G-G</t>
  </si>
  <si>
    <t>IC,Low Power Low Offset Voltage Dual Comparators,WA3393-S80R,SOP-8P,SMD,RoHS,HF</t>
  </si>
  <si>
    <t>WA3393-S80R</t>
  </si>
  <si>
    <t>133</t>
  </si>
  <si>
    <t>T-PHJ0000-G</t>
  </si>
  <si>
    <t>IC,Intel 900 Series Chipset Family Platform Controller Hub,FHNVPSSKUDTWSL,MM:99DA32,S-spec:Q9LE,BGA-888P,SMD,ROHS,HF</t>
  </si>
  <si>
    <t>FHNVPSSKUDTWSL[VER.A0,Q9LE]</t>
  </si>
  <si>
    <t>U4</t>
  </si>
  <si>
    <t>134</t>
  </si>
  <si>
    <t>21020H100-09N-G</t>
  </si>
  <si>
    <t>IC,Low Power eSPI/LPC Desktop SuperI/O,NPCD324HA0DX,Version:QS2,LQFP-128P,SMD,ROHS,HF</t>
  </si>
  <si>
    <t>NUVOTON</t>
  </si>
  <si>
    <t>NPCD324HA0DX</t>
  </si>
  <si>
    <t>U5</t>
  </si>
  <si>
    <t>135</t>
  </si>
  <si>
    <t>21030CL00-209-G</t>
  </si>
  <si>
    <t>IC,4-Channel High Definition Audio Codec,ALC3252-CG,MQFN-48P,SMD,ROHS,HF</t>
  </si>
  <si>
    <t>ALC3252-CG</t>
  </si>
  <si>
    <t>U13</t>
  </si>
  <si>
    <t>21030HB00-209-G</t>
  </si>
  <si>
    <t>IC,4-Channel High Definition Audio Codec With Embedded Class-D Speaker Amplifier,ALC3252-CGT,MQFN-48P,SMD,ROHS,HF</t>
  </si>
  <si>
    <t>ALC3252-CGT</t>
  </si>
  <si>
    <t>136</t>
  </si>
  <si>
    <t>52180V300-940-G</t>
  </si>
  <si>
    <t>TVS-Array,Ir(max)=1uA,Vcl(typ)=4.3V@Ipp=16A,Vrwm(max)=1.5V,Vbr(min)=5V,14KV(contact),15KV(air),DFN-10P,SMD,ROHS,HF</t>
  </si>
  <si>
    <t>AZ176S-04F.R7G</t>
  </si>
  <si>
    <t>U24,U25,U303,U304,UD800,UD810,UD820,UD830</t>
  </si>
  <si>
    <t>52180TL00-262-G</t>
  </si>
  <si>
    <t>TVS-Array,Ir(max)=50nA,Vcl(max)=7V@Ipp=16A,Vrwm(max)=3.3V,Vbr(min)=5V,15KV(air),15KV(contact),DFN2510-10P,SMD,ROHS,HF</t>
  </si>
  <si>
    <t>AOZ8S316UD4-03</t>
  </si>
  <si>
    <t>52180L100-400-H</t>
  </si>
  <si>
    <t>TVS-Array,Ir(max)=1uA,Vc(max)=13V@Ipp=5A,Vrwm(max)=3.3V,Vbr(min)=5.6V,15KV(air),10KV(contact),DFN2510-10P,SMD,ROHS,HF</t>
  </si>
  <si>
    <t>LRC1043-04DT1G</t>
  </si>
  <si>
    <t>52180GR00-JQ8-H</t>
  </si>
  <si>
    <t>TVS-Array,Ir(max)=0.1uA,Vc(typ)=7.2V@Ipp=16A,Vrwm(max)=3.3V,Vbr(min)=5.5V,15KV(air),15KV(contact),DFN2510A-10P,SMD,ROHS,HF</t>
  </si>
  <si>
    <t>PUSB3FR4</t>
  </si>
  <si>
    <t>52180YL00-15M-G</t>
  </si>
  <si>
    <t>TVS-Array,Ir(max)=0.1uA,Vcl(typ)=5.8V@Ipp=16A,Vrwm(max)=3.3V,Vtl(min)=5V,15KV(air),10KV(contact),DFN2510-10P,SMD,ROHS,HF</t>
  </si>
  <si>
    <t>SYT26AU3DVD</t>
  </si>
  <si>
    <t>52180RQ00-31C-G</t>
  </si>
  <si>
    <t>TVS-Array,Ir(max)=100nA,Vc(typ)=8.7V@Ipp=16A,Vrwm(max)=3.3V,Vbr(min)=9V,15KV(air),10KV(contact),DFN2510-10P,SMD,ROHS,HF</t>
  </si>
  <si>
    <t>ESD73034D-10/TR</t>
  </si>
  <si>
    <t>138</t>
  </si>
  <si>
    <t>310313G00-237-H</t>
  </si>
  <si>
    <t>IC,Small Plastic Package,Dual SPDT Analog Switch,PI3A223ZMEX,UQFN-10P,SMD,ROHS,HF</t>
  </si>
  <si>
    <t>PI3A223ZMEX</t>
  </si>
  <si>
    <t>U72,VU10,VU105</t>
  </si>
  <si>
    <t>31031E600-3K5-G</t>
  </si>
  <si>
    <t>IC,0.75ohm,Ultra Low On-Resistance Dual, SPDT Analog Switch,DIO1523LP10,DQFN-10P,SMD,RoHS,HF</t>
  </si>
  <si>
    <t>DIOO</t>
  </si>
  <si>
    <t>DIO1523LP10</t>
  </si>
  <si>
    <t>31031JP00-3SA-G</t>
  </si>
  <si>
    <t>IC,0.6ohm Ultra Low On-Resistance,Negative Signal Passing,Dual SPDT Analog Switch,SGM3718YUWQ10G/TR,UTQFN-10P,SMD,RoHS,HF</t>
  </si>
  <si>
    <t>SGM3718YUWQ10G/TR</t>
  </si>
  <si>
    <t>31030QQ00-183-G</t>
  </si>
  <si>
    <t>IC,0.45ohm,2-Channel SPDT Bidirectional Analog Switch,TS3A5223RSWR,UQFN-10P,SMD,RoHS,HF</t>
  </si>
  <si>
    <t>TS3A5223RSWR</t>
  </si>
  <si>
    <t>31031DC00-029-G</t>
  </si>
  <si>
    <t>IC,Low Voltage, 0.6 ohm, Dual SPDT Analog Switch,DG2735ADN-T1-GE4,QFN-10P,SMD,RoHS,HF</t>
  </si>
  <si>
    <t>VISHAY</t>
  </si>
  <si>
    <t>DG2735ADN-T1-GE4</t>
  </si>
  <si>
    <t>139</t>
  </si>
  <si>
    <t>21084E000-209-G</t>
  </si>
  <si>
    <t>IC,Type-C Controller with VBUS Power Switch,RTS5442S-04003,QFN-40P,SMD,ROHS,HF</t>
  </si>
  <si>
    <t>RTS5442S-04003</t>
  </si>
  <si>
    <t>U78,U88</t>
  </si>
  <si>
    <t>140</t>
  </si>
  <si>
    <t>52180BA00-940-H</t>
  </si>
  <si>
    <t>TVS-Array,Ir(max)=5uA,Vc(max)=11V,Vrwm(max)=5V,Vbr(min)=6V,27KV(air),16KV(contact),SOT23-6P,SMD,ROHS,HF</t>
  </si>
  <si>
    <t>AZC199-04S.R7G</t>
  </si>
  <si>
    <t>UD100,UD103,UD801,UD821,UD900,VU102,VU4</t>
  </si>
  <si>
    <t>52180V800-3SW-G</t>
  </si>
  <si>
    <t>TVS-Array,Ir(max)=0.5uA,Vcl(typ)=10.4V@Ipp=16A,Vrwm(max)=5V,Vbr(min)=6V,25KV(contact),30KV(air),SOT23-6P,SMD,ROHS,HF</t>
  </si>
  <si>
    <t>AR0504S2A</t>
  </si>
  <si>
    <t>52180WS00-15M-G</t>
  </si>
  <si>
    <t>TVS-Array,Ir(max)=0.1uA,Vcl(typ)=10.5V@Ipp=16A,Vrwm(max)=5V,Vbr(min)=6V,30KV(contact),30KV(air),SOT23-6P,SMD,ROHS</t>
  </si>
  <si>
    <t>SYT05S05ABC</t>
  </si>
  <si>
    <t>52180VJ00-82G-G</t>
  </si>
  <si>
    <t>TVS-Array,Ir(max)=100nA,Vcl(typ)=11V@Ipp=16A,Vrwm(max)=5V,Vbr(min)=6V,30KV(contact),30KV(air),SOT23-6P,SMD,ROHS,HF</t>
  </si>
  <si>
    <t>WS4445K96</t>
  </si>
  <si>
    <t>52180CP00-31C-H</t>
  </si>
  <si>
    <t>TVS-Arry,Ir(max)=100nA,Vc(max)=11.5V,Vrwm(max)=5V,Vbr(min)=7V,ESD 30KV(air),30KV(contact),SOT23-6P,SMD,ROHS,HF</t>
  </si>
  <si>
    <t>ESD5325E-6/TR</t>
  </si>
  <si>
    <t>143</t>
  </si>
  <si>
    <t>320247100-237-H</t>
  </si>
  <si>
    <t>IC,Single Channel Power Distribution Load Switch,AP22814AW5-7,SOT25-5P,SMD,ROHS,HF</t>
  </si>
  <si>
    <t>AP22814AW5-7</t>
  </si>
  <si>
    <t>UU10</t>
  </si>
  <si>
    <t>320255C00-279-H</t>
  </si>
  <si>
    <t>IC,Current Limit Power Distribution Switches,APL3556EBTI-TRG, TSOT23-5P,SMD,RoHS,HF</t>
  </si>
  <si>
    <t>APL3556EBTI-TRG</t>
  </si>
  <si>
    <t>32026T900-412-G</t>
  </si>
  <si>
    <t>IC,Power Distribution Switch,G509H30DTO1G,TSOT23-5P,SMD,RoHS,HF</t>
  </si>
  <si>
    <t>G509H30DTO1G</t>
  </si>
  <si>
    <t>320281700-2U4-G</t>
  </si>
  <si>
    <t>IC,Single Power Switch with Flag,ITP1133SOTA,SOT23-5P,SMD,RoHS,HF</t>
  </si>
  <si>
    <t>ITP1133SOTA</t>
  </si>
  <si>
    <t>320256P00-JS8-H</t>
  </si>
  <si>
    <t>IC,Single Power Switch With Flag,JW7115SSOTA#TRPBF,SOT23-5P,SMD,ROHS,HF</t>
  </si>
  <si>
    <t>JW7115SSOTA#TRPBF</t>
  </si>
  <si>
    <t>32023R300-264-H</t>
  </si>
  <si>
    <t>IC,55m Ohm,3A High-Side Power Switches,RT9742AGJ5F,TSOT23-5P,SMD,ROHS,HF</t>
  </si>
  <si>
    <t>RT9742AGJ5F</t>
  </si>
  <si>
    <t>148</t>
  </si>
  <si>
    <t>340223700-67Y-G</t>
  </si>
  <si>
    <t>CONN,UDIMM,DDR V,1.1V,0.85mm,Gold 15u inch,Black+Natural,SMD-287P,ROHS,HF</t>
  </si>
  <si>
    <t>ATF8787-82B10-2H</t>
  </si>
  <si>
    <t>XMM1,XMM3</t>
  </si>
  <si>
    <t>signal:SMD;shell:1.90+/-0.15;post:none</t>
  </si>
  <si>
    <t>340225100-38K-G</t>
  </si>
  <si>
    <t>568PD1-001H2123D</t>
  </si>
  <si>
    <t>signal:SMD;shell:2.0+/-0.25;post:none;</t>
  </si>
  <si>
    <t>340225000-GRS-G</t>
  </si>
  <si>
    <t>CONN,UDIMM,DDR V,1.1V,0.85mm,Gold 15u inch,Black+White,SMD-287P,ROHS,HF</t>
  </si>
  <si>
    <t>ADR5A328-P001CCC</t>
  </si>
  <si>
    <t>signal:SMD;shell:2.1+/-0.15;post:none;</t>
  </si>
  <si>
    <t>149</t>
  </si>
  <si>
    <t>340223F00-67Y-G</t>
  </si>
  <si>
    <t>CONN,UDIMM,DDR V,1.1V,0.85mm,Gold 15u inch,Natural,SMD-287P,ROHS,HF</t>
  </si>
  <si>
    <t>ATF8787-82W20-2H</t>
  </si>
  <si>
    <t>XMM2,XMM4</t>
  </si>
  <si>
    <t>signal:SMD;shell:1.90+/-0.15;post:none;</t>
  </si>
  <si>
    <t>340225200-38K-G</t>
  </si>
  <si>
    <t>568PD1-001H2223D</t>
  </si>
  <si>
    <t>signal:SMD;shell:2.00+/-0.25;post:none;</t>
  </si>
  <si>
    <t>340224Y00-GRS-G</t>
  </si>
  <si>
    <t>CONN,UDIMM,DDR V,1.1V,0.85mm,Gold 15u inch,White,SMD-287P,ROHS,HF</t>
  </si>
  <si>
    <t>ADR5A328-P005CCC</t>
  </si>
  <si>
    <t>150</t>
  </si>
  <si>
    <t>510413V00-262-H</t>
  </si>
  <si>
    <t>MOS P,AONR21357,Vdss=-30V,Id(max)=-34A@Tc=25C,Ciss=2830pF,VGS(th)=-2.3V,12.3m Ohm@Vgs=-4.5V,DFN-8P,SMD,ROHS,HF</t>
  </si>
  <si>
    <t>AONR21357</t>
  </si>
  <si>
    <t>XQ1,XQ701</t>
  </si>
  <si>
    <t>51040TS00-293-H</t>
  </si>
  <si>
    <t>MOS P,PE537BA,Vdss=-30V,Id(max)=-33A@Tc=25C,Ciss=2464pF,VGS(th)=-3V,16m Ohm@Vgs=-4.5V,PDFN-8P,SMD,ROHS,HF</t>
  </si>
  <si>
    <t>PE537BA</t>
  </si>
  <si>
    <t>51040WH00-029-H</t>
  </si>
  <si>
    <t>MOS P,Si7101DN-T1-GE3,Vdss=-30V,Id(max)=-35A@Tc=25C,Ciss=3595pF,VGS(th)=-2.5V,13m Ohm@Vgs=-4.5V,PowerPAK1212-8P,SMD,ROHS,HF</t>
  </si>
  <si>
    <t>SI7101DN-T1-GE3</t>
  </si>
  <si>
    <t>151</t>
  </si>
  <si>
    <t>34010D200-67Y-G</t>
  </si>
  <si>
    <t>CONN,CPU Socket_LGA1954,0.8mm,Gold 15u inch,Black,SMD-1954P,ROHS,HF</t>
  </si>
  <si>
    <t>PE19547-11NK0-1H</t>
  </si>
  <si>
    <t>XU1</t>
  </si>
  <si>
    <t>34010DE00-38K-G</t>
  </si>
  <si>
    <t>56ZZC2-027H-F</t>
  </si>
  <si>
    <t>34010DD00-GRS-G</t>
  </si>
  <si>
    <t>AZIFA328-P001C00CC</t>
  </si>
  <si>
    <t>152</t>
  </si>
  <si>
    <t>3406D2V00-GVQ-H</t>
  </si>
  <si>
    <t>CONN,Pin Socket,2X4,1.27mm,Tin,Natural,SMD-8P,ROHS,HF</t>
  </si>
  <si>
    <t>50950-0084N-001</t>
  </si>
  <si>
    <t>XU19,XU68</t>
  </si>
  <si>
    <t>signal:SMD;shell:none;post:0.75+/-0.05</t>
  </si>
  <si>
    <t>153</t>
  </si>
  <si>
    <t>31030YF00-237-H</t>
  </si>
  <si>
    <t>IC,4 Channel I2C Bus Switch With Reset,PI4MSD5V9546ALEX,TSSOP-16P,SMD,ROHS,HF</t>
  </si>
  <si>
    <t>PI4MSD5V9546ALEX</t>
  </si>
  <si>
    <t>XU80</t>
  </si>
  <si>
    <t>31031NB00-90K-G</t>
  </si>
  <si>
    <t>IC,1.8V 4channel I2C Switch with Reset,TPT29546L-TS3R,TSSOP-16P,SMD,RoHS,HF</t>
  </si>
  <si>
    <t>TPT29546L-TS3R</t>
  </si>
  <si>
    <t>31030YL00-183-H</t>
  </si>
  <si>
    <t>IC,Low Voltage 4-Channel I2C And SMBus Switch With Reset Function,TCA9546APWR,TSSOP-16P,SMD,ROHS,HF</t>
  </si>
  <si>
    <t>TCA9546APWR</t>
  </si>
  <si>
    <t>154</t>
  </si>
  <si>
    <t>32024U400-412-H</t>
  </si>
  <si>
    <t>IC,Dual Ultra Low On-Resistance Load Switch,G2898KD1U,TDFN-14P,SMD,ROHS,HF</t>
  </si>
  <si>
    <t>G2898KD1U</t>
  </si>
  <si>
    <t>XU201-1</t>
  </si>
  <si>
    <t>320253G00-279-H</t>
  </si>
  <si>
    <t>IC,Ultra-Low On-Resistance,6A Dual Load Switch With Soft Start,APL3528QBI-TRG,TDFN-14P,SMD,ROHS,HF</t>
  </si>
  <si>
    <t>APL3528QBI-TRG</t>
  </si>
  <si>
    <t>32023HT00-237-H</t>
  </si>
  <si>
    <t>IC,5V Dual Channel Programmable Load Switch,AP22966DC8-7,VDFN-14P,SMD,ROHS,HF</t>
  </si>
  <si>
    <t>AP22966DC8-7</t>
  </si>
  <si>
    <t>320282R00-2U4-G</t>
  </si>
  <si>
    <t>IC,6A, 5.5V Low On-Resistance Dual-Channel Load Switch,ITP1065DFNC,DFN-14P,SMD,RoHS,HF</t>
  </si>
  <si>
    <t>ITP1065DFNC</t>
  </si>
  <si>
    <t>32025DG00-JS8-G</t>
  </si>
  <si>
    <t>IC,6A,5.5V Low On-Resistance Dual-Channel Load Switch,JW7107SDFNC#TRPBF,DFN-14P,SMD,ROHS,HF</t>
  </si>
  <si>
    <t>JW7107SDFNC#TRPBF</t>
  </si>
  <si>
    <t>320234W00-264-H</t>
  </si>
  <si>
    <t>IC,Dual Channel,Ultra-Low Resistance Load Switch,RT9740AGQW,WDFN-14P,SMD,ROHS,HF</t>
  </si>
  <si>
    <t>RT9740AGQW</t>
  </si>
  <si>
    <t>32025D300-15M-G</t>
  </si>
  <si>
    <t>IC,5.5V/6A,Low RDS(ON) Dual-Channel Load Switch,SY6234DUC,DFN-14P,SMD,RoHS,HF</t>
  </si>
  <si>
    <t>SY6234DUC</t>
  </si>
  <si>
    <t>320258400-183-G</t>
  </si>
  <si>
    <t>IC,5.7V,6A,14mohm On-Resistance Dual-Channel Load Switch,TPS22976DPUR,WSON-14P,SMD,RoHS,HF</t>
  </si>
  <si>
    <t>TPS22976DPUR</t>
  </si>
  <si>
    <t>156</t>
  </si>
  <si>
    <t>71012D500-155-H</t>
  </si>
  <si>
    <t>XTAL,32.768KHz,+/-20ppm,CL=12.5pF,C0=2pF,Rs=50K Ohm,SMD-2P,ROHS,HF</t>
  </si>
  <si>
    <t>ETST00327000RE</t>
  </si>
  <si>
    <t>Y5</t>
  </si>
  <si>
    <t>71012JG00-105-H</t>
  </si>
  <si>
    <t>XTAL,32.768KHz,+/-20ppm,CL=12.5pF,Rs=50K Ohm,SMD,ROHS,HF</t>
  </si>
  <si>
    <t>CITIZEN</t>
  </si>
  <si>
    <t>CM315DL32768DZFT</t>
  </si>
  <si>
    <t>710134L00-180-H</t>
  </si>
  <si>
    <t>XTAL,32.768KHz,+/-20ppm,CL=12.5pF,C0=1.1pF,Rs=50K Ohm,SMD-2P,ROHS,HF</t>
  </si>
  <si>
    <t>XTL721-M99-113</t>
  </si>
  <si>
    <t>71013BW00-3R5-G</t>
  </si>
  <si>
    <t>SZTKD</t>
  </si>
  <si>
    <t>SF32WK32768D31T004</t>
  </si>
  <si>
    <t>710121100-100-H</t>
  </si>
  <si>
    <t>XTAL,32.768KHz,+/-20ppm,CL=12.5pF,C0=1pF,Rs=50K Ohm,SMD-2P,ROHS,HF</t>
  </si>
  <si>
    <t>9H03200042</t>
  </si>
  <si>
    <t>1</t>
  </si>
  <si>
    <t>34065Y600-GRT-H</t>
  </si>
  <si>
    <t>CONN,Jumper,2.0mm,Gold Flash,Blue,DIP-2P,ROHS,HF</t>
  </si>
  <si>
    <t>202-H71-01GU0B</t>
  </si>
  <si>
    <t>@E21</t>
  </si>
  <si>
    <t>signal:none;shell:none;post:none</t>
  </si>
  <si>
    <t>2</t>
  </si>
  <si>
    <t>1B61F9Y00-600-G</t>
  </si>
  <si>
    <t>M.2 Card Lock,Length:10.99mm,Width:13.000mm,Thickness:14.5mm,DIP,ROHS,HF</t>
  </si>
  <si>
    <t>@J46N-2</t>
  </si>
  <si>
    <t>3</t>
  </si>
  <si>
    <t>48013DU00-23C-G</t>
  </si>
  <si>
    <t>Heatsink,Length:25.00mm,Width:25.00mm,Thickness:25.60mm,For PCH Heatsink,DIP,ROHS,HF</t>
  </si>
  <si>
    <t>NAXIN</t>
  </si>
  <si>
    <t>101068500</t>
  </si>
  <si>
    <t>@U4</t>
  </si>
  <si>
    <t>48013DT00-17J-G</t>
  </si>
  <si>
    <t>AURAS</t>
  </si>
  <si>
    <t>0P10D00023</t>
  </si>
  <si>
    <t>48013DS00-600-G</t>
  </si>
  <si>
    <t>PHCX01G11012</t>
  </si>
  <si>
    <t>4</t>
  </si>
  <si>
    <t>890107603-60T-G</t>
  </si>
  <si>
    <t>Battery,Coin Lithium,3.0V,220mAh,CR2032,20X3.2,DIP,ROHS</t>
  </si>
  <si>
    <t>DBV</t>
  </si>
  <si>
    <t>BCR2032-F</t>
  </si>
  <si>
    <t>@XBT1</t>
  </si>
  <si>
    <t>890107603-16M-G</t>
  </si>
  <si>
    <t>JHT</t>
  </si>
  <si>
    <t>CJCR20320117</t>
  </si>
  <si>
    <t>890107602-JR4-G</t>
  </si>
  <si>
    <t>VIC-DAWN</t>
  </si>
  <si>
    <t>BBBCR2032BX</t>
  </si>
  <si>
    <t>5</t>
  </si>
  <si>
    <t>7B162PS00-GRS-G</t>
  </si>
  <si>
    <t>CONN,Battery Socket Cap,L=22.20mm,W=20.05mm,T=5.10mm,Black,DIP,ROHS,HF</t>
  </si>
  <si>
    <t>ABATA053-P001GC</t>
  </si>
  <si>
    <t>@XBT1-1</t>
  </si>
  <si>
    <t>7B162S300-67Y-G</t>
  </si>
  <si>
    <t>BBH1231-C8201-4H</t>
  </si>
  <si>
    <t>7B162S600-62G-G</t>
  </si>
  <si>
    <t>121B-AADB-A90B</t>
  </si>
  <si>
    <t>6</t>
  </si>
  <si>
    <t>1A72M3T00-67Y-G</t>
  </si>
  <si>
    <t>CONN,LGA 1954 Loading Module,DIP,ROHS,HF</t>
  </si>
  <si>
    <t>PM5A222-11NK0-4H</t>
  </si>
  <si>
    <t>@XU1</t>
  </si>
  <si>
    <t>1A724YY00-38K-G</t>
  </si>
  <si>
    <t>56ZZC2-032H-F</t>
  </si>
  <si>
    <t>1A72RQ900-GRS-G</t>
  </si>
  <si>
    <t>AZIFA356-P001C00CC</t>
  </si>
  <si>
    <t>7</t>
  </si>
  <si>
    <t>41051NQ00-205-G</t>
  </si>
  <si>
    <t>IC,1.8V 256M-Bit erial Flash Memory With Dual/Quad SPI,W25Q256JWEIN,WSON-8P,SMD,ROHS,HF</t>
  </si>
  <si>
    <t>W25Q256JWEIN</t>
  </si>
  <si>
    <t>@XU19</t>
  </si>
  <si>
    <t>41051PD00-36F-G</t>
  </si>
  <si>
    <t>IC,1.8V 256M-Bit Uniform Sector Dual and Quad Serial Flash,GD25LB256FYIGR,WSON-8P,SMD,ROHS,HF</t>
  </si>
  <si>
    <t>GD25LB256FYIGR</t>
  </si>
  <si>
    <t>41051UJ00-36F-G</t>
  </si>
  <si>
    <t>IC,1.8V 256M-Bit Dual and Quad Serial Flash,GD25LB256KYIGR,WSON-8P,SMD,ROHS,HF</t>
  </si>
  <si>
    <t>GD25LB256KYIGR</t>
  </si>
  <si>
    <t>41051S900-233-G</t>
  </si>
  <si>
    <t>IC,1.8V 256M-Bit x1/x2/x4 CMOS MXSMIO Flash Memory,MX25U25671GZ4I4GA,WSON-8P,SMD,ROHS,HF</t>
  </si>
  <si>
    <t>MX25U25671GZ4I4GA</t>
  </si>
  <si>
    <t>41051P900-233-G</t>
  </si>
  <si>
    <t>IC,1.8V 256M-Bit x1/x2/x4 CMOS MXSMIO Flash Memory,MX25U25672GZ4I40,WSON-8P,ROHS,HF</t>
  </si>
  <si>
    <t>MX25U25672GZ4I40</t>
  </si>
  <si>
    <t>41051P400-82W-G</t>
  </si>
  <si>
    <t>IC,1.8V 256M-Bit Serial Flash Memory With Dual/Quad SPI&amp;QPI,XM25QU256CXIQT08S,WSON-8P,SMD,ROHS,HF</t>
  </si>
  <si>
    <t>XMC</t>
  </si>
  <si>
    <t>XM25QU256CXIQT08S</t>
  </si>
  <si>
    <t>8</t>
  </si>
  <si>
    <t>41060UL00-233-G</t>
  </si>
  <si>
    <t>IC,1.8V IG-Bit Serial NAND Flash Memory,MX35UF1GE4AD-Z4I6,WSON-8P,SMD,ROHS,HF</t>
  </si>
  <si>
    <t>MX35UF1GE4AD-Z4I6</t>
  </si>
  <si>
    <t>@XU68</t>
  </si>
  <si>
    <t>41060VS00-36F-G</t>
  </si>
  <si>
    <t>IC,1.8V 1G-Bit High-Speed Serial NAND Flash,GD5F1GM9REYIGR-PC,WSON-8P,SMD,ROHS,HF</t>
  </si>
  <si>
    <t>GD5F1GM9REYIGR-PC</t>
  </si>
  <si>
    <t>410610000-205-G</t>
  </si>
  <si>
    <t>IC,1.8V 1G-Bit SLC QSPI NAND Flash Memory with Dual/Quad SPI Buffer Read&amp;Continuous Read,W25N01KWZEIT,WSON-8P,SMD,ROHS,HF</t>
  </si>
  <si>
    <t>W25N01KWZEIT</t>
  </si>
  <si>
    <t>15</t>
  </si>
  <si>
    <t>3406DHE00-600-H</t>
  </si>
  <si>
    <t>CONN,Header,1X3_K2,5.08mm,Tin 100u inch,Black,DIP-2P,ROHS,HF</t>
  </si>
  <si>
    <t>HBA1030-L000R-EH</t>
  </si>
  <si>
    <t>CLIP1,CLIP2</t>
  </si>
  <si>
    <t>signal:3.60+/-0.25;shell:none;post:none</t>
  </si>
  <si>
    <t>3406J9W00-16H-G</t>
  </si>
  <si>
    <t>96L02P-3TB0564HF</t>
  </si>
  <si>
    <t>signal:3.10+/-0.25;shell:none;post:none</t>
  </si>
  <si>
    <t>3406F8G00-03U-G</t>
  </si>
  <si>
    <t>CONN,Header,1X3_K2,5.08mm,Tin 120u inch,Black,DIP-2P,ROHS,HF</t>
  </si>
  <si>
    <t>FM-254W00-1X3P-D2EM94</t>
  </si>
  <si>
    <t>3406DHD00-637-H</t>
  </si>
  <si>
    <t>L&amp;S</t>
  </si>
  <si>
    <t>1428110302-0A21</t>
  </si>
  <si>
    <t>signal:3.10+/-0.30;shell:none;post:none</t>
  </si>
  <si>
    <t>3406DHC00-GRT-H</t>
  </si>
  <si>
    <t>21U-H91-03TB58</t>
  </si>
  <si>
    <t>sigl:3.40+/-0.20;shell:none;post:none</t>
  </si>
  <si>
    <t>16</t>
  </si>
  <si>
    <t>1B61F9V00-600-G</t>
  </si>
  <si>
    <t>LED Holder,Length:26.86mm,Width:16.68mm,Thickness:11.2mm,DIP,ROHS,HF</t>
  </si>
  <si>
    <t>COVER1</t>
  </si>
  <si>
    <t>43</t>
  </si>
  <si>
    <t>34052J300-67Y-G</t>
  </si>
  <si>
    <t>CONN,I/O Port,USBX2_RJ45,2.5Gigabit,2.54mm,Gold 30u inch,Black,DIP-22P,ROHS,HF</t>
  </si>
  <si>
    <t>JFM48U1H-FPVA-4H</t>
  </si>
  <si>
    <t>J9</t>
  </si>
  <si>
    <t>signal:2.29+/-0.25;shell:3.37+/-0.25;post:none</t>
  </si>
  <si>
    <t>34052LS00-GB0-G</t>
  </si>
  <si>
    <t>SPEEDTECH</t>
  </si>
  <si>
    <t>RUAAJN-CC43-BE0-FH</t>
  </si>
  <si>
    <t>signal:2.29+/-0.38;shell:3.47+/-0.38;post:none</t>
  </si>
  <si>
    <t>44</t>
  </si>
  <si>
    <t>340479B00-600-H</t>
  </si>
  <si>
    <t>CONN,I/O Port,USB3X3,2.0mm,Gold 30u inch,BlackDIP-27P,ROHS,HF</t>
  </si>
  <si>
    <t>UEA1133-M4152-4H</t>
  </si>
  <si>
    <t>J10</t>
  </si>
  <si>
    <t>single:2.29+/-0.25;shell:4.35+/-0.25;post:none</t>
  </si>
  <si>
    <t>34048BP00-03U-G</t>
  </si>
  <si>
    <t>N3A-FF211DRLA1-C330</t>
  </si>
  <si>
    <t>signal:2.29+/-0.25;shell:3.0+/-0.25;post:none</t>
  </si>
  <si>
    <t>34048BQ00-62G-G</t>
  </si>
  <si>
    <t>121U-3ATT-03CT</t>
  </si>
  <si>
    <t>signal:2.3+/-0.25;shell:3.01+/-0.25;post:none</t>
  </si>
  <si>
    <t>51</t>
  </si>
  <si>
    <t>34032UE00-67Y-H</t>
  </si>
  <si>
    <t>CONN,Slot,PCIE-X4,Gen4,1mm,Gold 30u inch,Black,DIP-64P,ROHS,HF</t>
  </si>
  <si>
    <t>2EF0323-7A1DB-4H</t>
  </si>
  <si>
    <t>J42-1</t>
  </si>
  <si>
    <t>signal:2.30+0.25/-0.13;shell:none;post:4.40+/-0.25</t>
  </si>
  <si>
    <t>34033WR00-38K-G</t>
  </si>
  <si>
    <t>CONN,Slot,PCIE-X4,Gen4,1.0mm,Gold 30u inch,Black,DIP-64P,ROHS,HF</t>
  </si>
  <si>
    <t>571YD4-002H3000T-F</t>
  </si>
  <si>
    <t>signal:2.30+0.25/-0.13;shell:none;post:4.40+/-0.25;</t>
  </si>
  <si>
    <t>340332400-62G-H</t>
  </si>
  <si>
    <t>121P-C4EB-J8CT</t>
  </si>
  <si>
    <t>54</t>
  </si>
  <si>
    <t>340479G00-600-H</t>
  </si>
  <si>
    <t>CONN,I/O Port,DisplayportX2,1.4mm,Gold 30u inch,Black,DIP-40P,ROHS,HF</t>
  </si>
  <si>
    <t>3VD11203-RDPA-4H</t>
  </si>
  <si>
    <t>J64</t>
  </si>
  <si>
    <t>signal:2.05+/-0.25;shell:3.60+/-0.25;post:none</t>
  </si>
  <si>
    <t>34047EC00-16H-G</t>
  </si>
  <si>
    <t>62E40S-39P6012HF</t>
  </si>
  <si>
    <t>signal:2.05+/-0.2;shell:3.60+/-0.2;post:none</t>
  </si>
  <si>
    <t>55</t>
  </si>
  <si>
    <t>340488F00-67Y-G</t>
  </si>
  <si>
    <t>CONN,JACK,Audio,HDA,AUDX1,Dia=3.5mm,Gold 30u inch,Black,DIP-5P,ROHS,HF</t>
  </si>
  <si>
    <t>JA31133-65005-7H</t>
  </si>
  <si>
    <t>J74</t>
  </si>
  <si>
    <t>signal:2.28+/-0.25;shell:2.28+/-0.25;post:none</t>
  </si>
  <si>
    <t>34048CA00-16H-G</t>
  </si>
  <si>
    <t>69L05S-39R0048HF</t>
  </si>
  <si>
    <t>34048BW00-62G-G</t>
  </si>
  <si>
    <t>12HJ-K06B-Q2CR</t>
  </si>
  <si>
    <t>72</t>
  </si>
  <si>
    <t>7B179YH00-HWG-G</t>
  </si>
  <si>
    <t>Mylar,Diameter:15.00mm,Thickness:0.20mm,DIP,ROHS,HF</t>
  </si>
  <si>
    <t>YIDAXING</t>
  </si>
  <si>
    <t>YDX20250520001</t>
  </si>
  <si>
    <t>M1</t>
  </si>
  <si>
    <t>7B179YJ00-J2A-G</t>
  </si>
  <si>
    <t>FOX-TEM</t>
  </si>
  <si>
    <t>PP1390765112Z</t>
  </si>
  <si>
    <t>7B179YG00-869-G</t>
  </si>
  <si>
    <t>JOINSET</t>
  </si>
  <si>
    <t>10102090699</t>
  </si>
  <si>
    <t>76</t>
  </si>
  <si>
    <t>3406JA400-637-G</t>
  </si>
  <si>
    <t>CONN,Plug,2X2,ATX,PWR,4.20mm,Tin 100u inch,Black,DIP-4P,ROHS,HF</t>
  </si>
  <si>
    <t>4171210400-0A11</t>
  </si>
  <si>
    <t>P1,P3,P4</t>
  </si>
  <si>
    <t>signal:3.30+/-0.30;shell:none;post:1.50+/-0.30</t>
  </si>
  <si>
    <t>3406EUW00-67Y-G</t>
  </si>
  <si>
    <t>CONN,Plug,2X2,ATX,PWR,4.2mm,Tin 100u inch,Black,DIP-4P,ROHS,HF</t>
  </si>
  <si>
    <t>HMBA020-B1BF2-4H</t>
  </si>
  <si>
    <t>signal:3.40+/-0.25;shell:none;post:1.50+/-0.25</t>
  </si>
  <si>
    <t>3406F1U00-03U-H</t>
  </si>
  <si>
    <t>34202W00-2X2PA-F-W5</t>
  </si>
  <si>
    <t>signal:3.40+/-0.20;shell:none;post:1.50+/-0.25</t>
  </si>
  <si>
    <t>77</t>
  </si>
  <si>
    <t>3406HUF00-600-G</t>
  </si>
  <si>
    <t>CONN,Header,1X7,Shield,2.0mm,Tin 100u inch,Black,DIP-7P,ROHS,HF</t>
  </si>
  <si>
    <t>HFK1070-L2P2L-EH</t>
  </si>
  <si>
    <t>P2</t>
  </si>
  <si>
    <t>signal:2.16+/-0.25;shell:none;post:1.65+/-0.25</t>
  </si>
  <si>
    <t>3406JAK00-03U-G</t>
  </si>
  <si>
    <t>12001W00-7PA-F-S7-HF-NK</t>
  </si>
  <si>
    <t>signal:2.20+/-0.30;shell:none;post:1.65+/-0.20</t>
  </si>
  <si>
    <t>3406HTC00-637-G</t>
  </si>
  <si>
    <t>2311B10700-0A11</t>
  </si>
  <si>
    <t>signal:2.20+/-0.20;shell:none;post:1.65+/-0.20</t>
  </si>
  <si>
    <t>78</t>
  </si>
  <si>
    <t>3406HTJ00-637-G</t>
  </si>
  <si>
    <t>CONN,Header,1X4,Shield,2.00mm,Tin 100u inch,Black,DIP-4P,ROHS,HF</t>
  </si>
  <si>
    <t>2311610400-0B11</t>
  </si>
  <si>
    <t>P6</t>
  </si>
  <si>
    <t>signal:2.00+/-0.20;shell:none;post:1.65+/-0.20</t>
  </si>
  <si>
    <t>3406HUE00-600-G</t>
  </si>
  <si>
    <t>CONN,Header,1X4,Shield,2.0mm,Tin 100u inch,Black,DIP-4P,ROHS,HF</t>
  </si>
  <si>
    <t>HFK1040-L2P2D-EH</t>
  </si>
  <si>
    <t>3406JAG00-03U-G</t>
  </si>
  <si>
    <t>12001W00-4PA-F-S7-HF-NK</t>
  </si>
  <si>
    <t>79</t>
  </si>
  <si>
    <t>3406FNM00-637-G</t>
  </si>
  <si>
    <t>CONN,Header,1X6,FAN,2.54mm,Tin 100u inch,Milk White,DIP-6P,ROHS.HF</t>
  </si>
  <si>
    <t>2111110600-0B12</t>
  </si>
  <si>
    <t>P8-1</t>
  </si>
  <si>
    <t>signal:3.50+/-0.30;shell:none;post:1.40+/-0.30</t>
  </si>
  <si>
    <t>3406LG500-03U-G</t>
  </si>
  <si>
    <t>CONN,Header,1X6,FAN,2.54mm,Tin 100u inch,White,DIP-6P,ROHS.HF</t>
  </si>
  <si>
    <t>1254BW00-106WT-14BT625</t>
  </si>
  <si>
    <t>signal:2.30+/-0.20;shell:none;post:1.30+/-0.20</t>
  </si>
  <si>
    <t>3406LG100-GRT-G</t>
  </si>
  <si>
    <t>744-H81-065W1001</t>
  </si>
  <si>
    <t>80</t>
  </si>
  <si>
    <t>3406JMC00-03U-G</t>
  </si>
  <si>
    <t>Header,1X5,FAN,2.54mm,Tin 100u inch,Brown/14156C,DIP-5P,ROHS</t>
  </si>
  <si>
    <t>1254FW00-105BT-F1B95</t>
  </si>
  <si>
    <t>P9-1</t>
  </si>
  <si>
    <t>signal:3.50+/-0.25;shell:none;post:1.30+/-0.20</t>
  </si>
  <si>
    <t>81</t>
  </si>
  <si>
    <t>34063SS00-637-H</t>
  </si>
  <si>
    <t>CONN,Header,1X4,FAN,2.54mm,Tin 100u inch,Brown,DIP-4P,ROHS,HF</t>
  </si>
  <si>
    <t>170044C167</t>
  </si>
  <si>
    <t>P11</t>
  </si>
  <si>
    <t>signal:3.50+/-0.20;shell:none;post:1.40+/-0.20;Update spec for PCN:07-12120005</t>
  </si>
  <si>
    <t>3406JCV00-16H-G</t>
  </si>
  <si>
    <t>CONN,Header,1X4,FAN,2.54mm,Tin 100u inch,Brown/5125C,DIP-4P,ROHS,HF</t>
  </si>
  <si>
    <t>96L04P-5TB0065HF</t>
  </si>
  <si>
    <t>signal:3.50+/-0.25;shell:none;post:1.40+/-0.25</t>
  </si>
  <si>
    <t>3406KTB00-GRT-G</t>
  </si>
  <si>
    <t>744-H81-045R16</t>
  </si>
  <si>
    <t>signal:2.10+/-0.30;shell:none;post:1.30+/-0.30</t>
  </si>
  <si>
    <t>82</t>
  </si>
  <si>
    <t>3406A2J00-600-H</t>
  </si>
  <si>
    <t>CONN,Header,2X7_K10,Shield,2.0mm,Gold 15u inch,Black,DIP-13P,ROHS,HF</t>
  </si>
  <si>
    <t>HLH2077-LAB1B-4H</t>
  </si>
  <si>
    <t>P54</t>
  </si>
  <si>
    <t>signal:2.10+/-0.38;shell:none;post:2.20+/-0.25</t>
  </si>
  <si>
    <t>3406JA500-16H-G</t>
  </si>
  <si>
    <t>96L13P-37B0565HF</t>
  </si>
  <si>
    <t>signal:2.20+/-0.25;shell:none;post:none</t>
  </si>
  <si>
    <t>3406KT400-637-G</t>
  </si>
  <si>
    <t>32182C1410-0B41</t>
  </si>
  <si>
    <t>signal:1.90+/-0.20;shell:none;post:none</t>
  </si>
  <si>
    <t>83</t>
  </si>
  <si>
    <t>34070GP00-GRS-H</t>
  </si>
  <si>
    <t>CONN,Serial ATA,Shield,1.055mm,Gold 15u inch,Dark Blue(287C),DIP-7P,ROHS,HF</t>
  </si>
  <si>
    <t>ABA-SAT-056-W02</t>
  </si>
  <si>
    <t>P60</t>
  </si>
  <si>
    <t>signal:2.10+/-0.25;shell:2.50+/-0.25;post:none</t>
  </si>
  <si>
    <t>34070TL00-H5C-H</t>
  </si>
  <si>
    <t>CONN,Serial ATA,Shield,1.055mm,Gold 15u inch,Blue,DIP-7P,ROHS,HF</t>
  </si>
  <si>
    <t>ASTRON</t>
  </si>
  <si>
    <t>245M007-30204T-H</t>
  </si>
  <si>
    <t>signal:2.05+/-0.28;shell:2.4+/-0.28;post:none</t>
  </si>
  <si>
    <t>34070CY00-600-H</t>
  </si>
  <si>
    <t>CONN,Serial ATA,Shield,1.055mm,Gold 15u inch,Dark Blue(293C),DIP-7P,ROHS,HF</t>
  </si>
  <si>
    <t>LE18077-Z50D-4H</t>
  </si>
  <si>
    <t>signal:2.10+/-0.20;shell:2.40+/0.20;post:none</t>
  </si>
  <si>
    <t>34070JG00-GRS-H</t>
  </si>
  <si>
    <t>ABA-SAT-054-W02</t>
  </si>
  <si>
    <t>86</t>
  </si>
  <si>
    <t>34062BN00-600-H</t>
  </si>
  <si>
    <t>CONN,Header,2X3_K3,2.54mm,Gold 15u inch,Black,DIP-5P,ROHS,HF</t>
  </si>
  <si>
    <t>HC1103V-D5BH</t>
  </si>
  <si>
    <t>P124</t>
  </si>
  <si>
    <t>signal:2.79+/-0.38;shell:none;post:none</t>
  </si>
  <si>
    <t>3406JBD00-16H-G</t>
  </si>
  <si>
    <t>96L05P-37B0064HF</t>
  </si>
  <si>
    <t>signal:2.79+/-0.25;shell:none;post:none</t>
  </si>
  <si>
    <t>3406G9500-03U-G</t>
  </si>
  <si>
    <t>FM-254W00-2X3PA-DNEK3F</t>
  </si>
  <si>
    <t>signal:2.80+/-0.25;shell:none;post:none</t>
  </si>
  <si>
    <t>340643100-GRT-H</t>
  </si>
  <si>
    <t>210-H82-03HB04</t>
  </si>
  <si>
    <t>signal:3.00+/-0.25;shell:none;post:none</t>
  </si>
  <si>
    <t>88</t>
  </si>
  <si>
    <t>3406AR100-637-H</t>
  </si>
  <si>
    <t>CONN,Wire-to-Board Header,2mm,Tin,Milk White,DIP-4P,ROHS,HF</t>
  </si>
  <si>
    <t>2311610400-0B12</t>
  </si>
  <si>
    <t>P161</t>
  </si>
  <si>
    <t>3406JL100-600-G</t>
  </si>
  <si>
    <t>CONN,Header,1X4,Shield,2.0mm,Tin 100u inch,White,DIP-4P,ROHS,HF</t>
  </si>
  <si>
    <t>HFK1040-K2P2D-EH</t>
  </si>
  <si>
    <t>3406JKR00-03U-G</t>
  </si>
  <si>
    <t>CONN,Header,1X4,Shield,2.0mm,Tin 100u inch,Natural,DIP-4P,ROHS,HF</t>
  </si>
  <si>
    <t>12001W00-4P-F-S8-HF-NK</t>
  </si>
  <si>
    <t>89</t>
  </si>
  <si>
    <t>3406JCK00-67Y-G</t>
  </si>
  <si>
    <t>CONN,Header,2X5_K1,2.00mm,Gold 15u inch,Black,DIP-9P,ROHS,HF</t>
  </si>
  <si>
    <t>HLH2057-LBA1C-4H</t>
  </si>
  <si>
    <t>P248</t>
  </si>
  <si>
    <t>signal:2.30+/-0.38;shell:none;post:none</t>
  </si>
  <si>
    <t>3406JSR00-03U-G</t>
  </si>
  <si>
    <t>12012W00-2X5PA-S1-0G-23-01-NK-T</t>
  </si>
  <si>
    <t>signal:2.30+/-0.30;shell:none;post:none</t>
  </si>
  <si>
    <t>3406LG200-637-G</t>
  </si>
  <si>
    <t>32182C1001-0C41</t>
  </si>
  <si>
    <t>signal:1.90+/-0.25;shell:none;post:none</t>
  </si>
  <si>
    <t>3406JRE00-GRT-G</t>
  </si>
  <si>
    <t>52S-H90-10SB48</t>
  </si>
  <si>
    <t>93</t>
  </si>
  <si>
    <t>62120GJ08-077-H</t>
  </si>
  <si>
    <t>CPCAP,270uF,+/-20%,16V,5000hs,-55~+105C,I(ripple)=5080mA,ESR=10m Ohm,DIP6.3X8,ROHS,HF</t>
  </si>
  <si>
    <t>ELITE</t>
  </si>
  <si>
    <t>UPE1C271MP26308EU</t>
  </si>
  <si>
    <t>PCE210,PCE211,PCE212,PCE213,PCE214,PCE900,PCE901</t>
  </si>
  <si>
    <t>62120GJ00-31N-H</t>
  </si>
  <si>
    <t>CPCAP,270uF,+/-20%,16V,5000hs,-55~+105C,I(ripple)=5100mA,ESR=10m Ohm,DIP6.3X8,ROHS,HF</t>
  </si>
  <si>
    <t>APAQ</t>
  </si>
  <si>
    <t>160AR5K271M06X8CT</t>
  </si>
  <si>
    <t>62120GJ01-021-H</t>
  </si>
  <si>
    <t>CHEMICON</t>
  </si>
  <si>
    <t>APSG160ETD271MF08J</t>
  </si>
  <si>
    <t>62120GJ00-HPH-G</t>
  </si>
  <si>
    <t>FPCAP,270uF,+/-20%,16V,5000hs,-55~+105C,I(ripple)=5080mA,ESR=10m Ohm,DIP6.3X8,ROHS,HF</t>
  </si>
  <si>
    <t>FPCAP</t>
  </si>
  <si>
    <t>FP-016RE271M-S8JT-5KLE</t>
  </si>
  <si>
    <t>62120TN00-049-H</t>
  </si>
  <si>
    <t>LELON</t>
  </si>
  <si>
    <t>ORE271M1CSA-0608-FD</t>
  </si>
  <si>
    <t>94</t>
  </si>
  <si>
    <t>621207805-HPH-H</t>
  </si>
  <si>
    <t>CPCAP,820uF,+/-20%,2.5V,5000hs,-55~+105C,I(ripple)=5600mA,ESR=7m Ohm,DIP6.3X8,ROHS,HF</t>
  </si>
  <si>
    <t>FP-2R5RE821M-S8JT-5K</t>
  </si>
  <si>
    <t>PCE525</t>
  </si>
  <si>
    <t>62120CH03-31N-H</t>
  </si>
  <si>
    <t>CPCAP,820uF,+/-20%,2.5V,5000hs,-55~+105C,I(ripple)=5600mA,ESR=7m Ohm,DIP6.3X9,ROHS,HF</t>
  </si>
  <si>
    <t>2R5AR5K821M0609CT</t>
  </si>
  <si>
    <t>621207801-021-H</t>
  </si>
  <si>
    <t>CPCAP,820uF,+/-20%,2.5V,5000hs,-55~+105C,I(ripple)=5000mA,ESR=7m Ohm,DIP6.3X8,ROHS,HF</t>
  </si>
  <si>
    <t>APSE2R5ETD821MF08S</t>
  </si>
  <si>
    <t>long lead</t>
  </si>
  <si>
    <t>62120780G-077-H</t>
  </si>
  <si>
    <t>UPE0E821MP26308U</t>
  </si>
  <si>
    <t>62120TL00-049-H</t>
  </si>
  <si>
    <t>ORK821M0ESA-0608-FD</t>
  </si>
  <si>
    <t>95</t>
  </si>
  <si>
    <t>621207W05-HPH-H</t>
  </si>
  <si>
    <t>CPCAP,560uF,+/-20%,6.3V,5000hs,-55~+105C,I(ripple)=5000mA,ESR=8m Ohm,DIP6.3X8,ROHS,HF</t>
  </si>
  <si>
    <t>FP-6R3RE561M-S8JT-5K</t>
  </si>
  <si>
    <t>PCE1279,PCE1280,PCE1281,PCE1282,PCE1283,PCE1284,PCE1285,PCE1286,PCE1287,PCE1289,PCE1290,PCE1292,PCE1293,PCE1294,PCE500,PCE782,PCE935,PCE936,PCE945,PCE946,UC110,UC902</t>
  </si>
  <si>
    <t>621207W0V-31N-G</t>
  </si>
  <si>
    <t>CPCAP,560uF,+/-20%,6.3V,5000hs,-55~+105C,I(ripple)=4700mA,ESR=8m Ohm,DIP6.3X8,ROHS,HF</t>
  </si>
  <si>
    <t>6R3AR5K561M06X8CT</t>
  </si>
  <si>
    <t>621207W00-021-H</t>
  </si>
  <si>
    <t>APSE6R3ETD561MF08S</t>
  </si>
  <si>
    <t>621207W0C-077-H</t>
  </si>
  <si>
    <t>UPE0J561MP26308U</t>
  </si>
  <si>
    <t>100</t>
  </si>
  <si>
    <t>3406AE700-600-H</t>
  </si>
  <si>
    <t>CONN,Header,1X3,2.54mm,Gold 15u inch,Black,DIP-3P,ROHS,HF</t>
  </si>
  <si>
    <t>HBB1037-L200F-EH</t>
  </si>
  <si>
    <t>PJP100</t>
  </si>
  <si>
    <t>131</t>
  </si>
  <si>
    <t>34082BR00-74V-G</t>
  </si>
  <si>
    <t>Tact Switch,12V,50mA,160g+/-50g,Black,DIP-4P,ROHS,HF</t>
  </si>
  <si>
    <t>WZLIYANG</t>
  </si>
  <si>
    <t>LYQC007191</t>
  </si>
  <si>
    <t>SW1</t>
  </si>
  <si>
    <t>signal:2.3+/-0.2;shell:3.0+/-0.2;post:1.0+/-0.1</t>
  </si>
  <si>
    <t>34082C800-750-G</t>
  </si>
  <si>
    <t>HIGHLY</t>
  </si>
  <si>
    <t>HL06BRC21-050-160-HF</t>
  </si>
  <si>
    <t>132</t>
  </si>
  <si>
    <t>34081AJ00-653-H</t>
  </si>
  <si>
    <t>Tact Switch,12V,50mA,520g+/-100g,Yellow,DIP-4P,ROHS,HF</t>
  </si>
  <si>
    <t>DIPTRONICS</t>
  </si>
  <si>
    <t>T6AH025Y2P</t>
  </si>
  <si>
    <t>SW50</t>
  </si>
  <si>
    <t>340828B00-571-G</t>
  </si>
  <si>
    <t>FORWARD</t>
  </si>
  <si>
    <t>SFNHLAT2541</t>
  </si>
  <si>
    <t>signal:3.5+/-0.5;shell:none;post:none</t>
  </si>
  <si>
    <t>340823Y00-713-G</t>
  </si>
  <si>
    <t>Tact Switch,12V,50mA,520gf+/-70gf,Yellow,DIP-4P,ROHS,HF</t>
  </si>
  <si>
    <t>HUA-JIE</t>
  </si>
  <si>
    <t>TSAB-87F-S1</t>
  </si>
  <si>
    <t>signal:3.5+/-0.3;shell:none;post:none</t>
  </si>
  <si>
    <t>34081W800-74V-G</t>
  </si>
  <si>
    <t>Tact Switch,12V,50mA,520g+/-180g,Yellow,DIP-4P,ROHS,HF</t>
  </si>
  <si>
    <t>LYQC002045</t>
  </si>
  <si>
    <t>signal:3.0+/-0.3;shell:none;post:none</t>
  </si>
  <si>
    <t>144</t>
  </si>
  <si>
    <t>48020GC00-23C-G</t>
  </si>
  <si>
    <t>Heatsink,Length:85.29mm,Width:24.48mm,Thickness:40.00mm,For FY25,DIP,ROHS,HF</t>
  </si>
  <si>
    <t>101060690</t>
  </si>
  <si>
    <t>VRHS1</t>
  </si>
  <si>
    <t>48020H200-600-G</t>
  </si>
  <si>
    <t>PHCU39G1S012</t>
  </si>
  <si>
    <t>145</t>
  </si>
  <si>
    <t>3406J4E00-GRS-G</t>
  </si>
  <si>
    <t>CONN,Socket,Battery,Horizontal,CR2032,Tin 100u inch,Black,DIP-2P,ROHS,HF</t>
  </si>
  <si>
    <t>ABATA052-P001CC</t>
  </si>
  <si>
    <t>XBT1</t>
  </si>
  <si>
    <t>signal:3.15+/-0.25;shell:none;post:none</t>
  </si>
  <si>
    <t>3406JCF00-67Y-G</t>
  </si>
  <si>
    <t>BBH1239-C8200-4H</t>
  </si>
  <si>
    <t>3406JD900-62G-G</t>
  </si>
  <si>
    <t>121B-AADB-A9TT</t>
  </si>
  <si>
    <t>146</t>
  </si>
  <si>
    <t>62110C605-049-H</t>
  </si>
  <si>
    <t>ECAP,470uF,+/-20%,6.3V,4000hs,-55~+105C,I(ripple)=340mA,ESR=220m Ohm,DIP6.3X11,ROHS,HF</t>
  </si>
  <si>
    <t>RZW471M0JSA-0611-FD</t>
  </si>
  <si>
    <t>XC22</t>
  </si>
  <si>
    <t>621120L00-124-G</t>
  </si>
  <si>
    <t>ECAP,470uF,+/-20%,6.3V,4000hs,-40~+105C,I(ripple)=360mA,ESR=180m Ohm,DIP6.3X11,ROHS,HF</t>
  </si>
  <si>
    <t>CAPXON</t>
  </si>
  <si>
    <t>FH471M6R3E110ETC</t>
  </si>
  <si>
    <t>621103C00-077-G</t>
  </si>
  <si>
    <t>ECAP,470uF,+/-20%,6.3V,4000hs,-40~+105C,I(ripple)=400mA,ESR=240m Ohm,DIP6.3X11,ROHS,HF</t>
  </si>
  <si>
    <t>EV0J471MP26311F4U</t>
  </si>
  <si>
    <t>62110U504-024-H</t>
  </si>
  <si>
    <t>ECAP,470uF,+/-20%,6.3V,5000hs,-40~+105C,I(ripple)=455mA,ESR=130m Ohm,DIP6.3X11.2,ROHS,HF</t>
  </si>
  <si>
    <t>EEUFR0J471HW</t>
  </si>
  <si>
    <t>147</t>
  </si>
  <si>
    <t>62110CV05-049-H</t>
  </si>
  <si>
    <t>ECAP,220uF,+/-20%,16V,5000hs,-55~+105C,I(ripple)=340mA,ESR=220m Ohm,DIP6.3X11,ROHS,HF</t>
  </si>
  <si>
    <t>RZW221M1CSA-0611-FD</t>
  </si>
  <si>
    <t>XC23</t>
  </si>
  <si>
    <t>621128K00-124-G</t>
  </si>
  <si>
    <t>ECAP,220uF,+/-20%,16V,5000hs,-40~+105C,I(ripple)=350mA,ESR=200m Ohm,DIP6.3X11,ROHS,HF</t>
  </si>
  <si>
    <t>FH221M016E110ETC</t>
  </si>
  <si>
    <t>62110CV00-077-G</t>
  </si>
  <si>
    <t>ECAP,220uF,+/-20%,16V,5000hs,-40~+105C,I(ripple)=340mA,ESR=220m Ohm,DIP6.3X11,ROHS,HF</t>
  </si>
  <si>
    <t>EV1C221MP26311F5U</t>
  </si>
  <si>
    <t>621114K02-024-H</t>
  </si>
  <si>
    <t>ECAP,220uF,+/-20%,16V,5000hs,-40~+105C,I(ripple)=455mA,ESR=130m Ohm,DIP6.3X11.2,ROHS,HF</t>
  </si>
  <si>
    <t>EEUFR1C221HW</t>
  </si>
  <si>
    <t>17</t>
  </si>
  <si>
    <t>521107T00-289-H</t>
  </si>
  <si>
    <t>LED,CLR,Green,Wavelength=574nm,Iv=35mcd@If=20mA,VF=2.4V,VR=5V,IF=30mA,SMD0603,ROHS,HF</t>
  </si>
  <si>
    <t>LTST-C190KGKT</t>
  </si>
  <si>
    <t>CR1</t>
  </si>
  <si>
    <t>521151N00-326-G</t>
  </si>
  <si>
    <t>LED,CLR,Yellow Green,Wavelength=575nm,Iv=45mcd@If=20mA,VF=2.35V,VR=5V,IF=25mA,SMD0603,ROHS,HF</t>
  </si>
  <si>
    <t>19-213/G6C-BM1N2B/5T(HFX-1)</t>
  </si>
  <si>
    <t>521147U00-91T-H</t>
  </si>
  <si>
    <t>LED,CLR,Green,Wavelength=576nm,Iv=60mcd@If=15mA,VF=2.3V,VR=5V,SMD,ROHS,HF</t>
  </si>
  <si>
    <t>H1608AG42A0C01</t>
  </si>
  <si>
    <t>52110UW00-366-H</t>
  </si>
  <si>
    <t>LED,CLR,Green,Wavelength=571nm,Iv=30mcd@If=20mA,VF=2.4V,VR=5V,IF=25mA,SMD0603,ROHS,HF</t>
  </si>
  <si>
    <t>L-C191JGCT</t>
  </si>
  <si>
    <t>30</t>
  </si>
  <si>
    <t>341428T00-GVQ-G</t>
  </si>
  <si>
    <t>CONN,FPC,0.5mm,Gold 3u inch,White,SMD-20P,ROHS,HF</t>
  </si>
  <si>
    <t>50696-0200M-002</t>
  </si>
  <si>
    <t>E25</t>
  </si>
  <si>
    <t>signal:SMD;shell:SMD;post:None</t>
  </si>
  <si>
    <t>65</t>
  </si>
  <si>
    <t>510101000-400-H</t>
  </si>
  <si>
    <t>TRANS NPN,LMBT3904LT1G,VBE(sat)=0.85V,HFE=300,Vceo=40V,Ic(sat)=200mA,SOT23-3P,SMD,ROHS,HF</t>
  </si>
  <si>
    <t>LMBT3904LT1G</t>
  </si>
  <si>
    <t>LQ1</t>
  </si>
  <si>
    <t>51020FN00-52N-G</t>
  </si>
  <si>
    <t>TRANS PNP,BG-MMBT3906,VBE(sat)=-0.85V,HFE=300,Vceo=-40V,Ic(sat)=-200mA,SOT23-3P,SMD,ROHS,HF</t>
  </si>
  <si>
    <t>BG-MMBT3906</t>
  </si>
  <si>
    <t>510101700-891-H</t>
  </si>
  <si>
    <t>TRANS NPN,MMBT3904,VBE(sat)=850mV,HFE=300,Vceo=40V,Ic(sat)=200mA,SOT23-3P,SMD,ROHS,HF</t>
  </si>
  <si>
    <t>MMBT3904</t>
  </si>
  <si>
    <t>510100W00-237-H</t>
  </si>
  <si>
    <t>TRANS NPN,MMBT3904-7-F,VBE(sat)=0.85V,HFE=300,Vceo=40V,Ic(sat)=200mA,SOT23-3P,SMD,ROHS,HF</t>
  </si>
  <si>
    <t>MMBT3904-7-F</t>
  </si>
  <si>
    <t>due to quality issue,forbid using Lenovo project.</t>
  </si>
  <si>
    <t>510100800-223-H</t>
  </si>
  <si>
    <t>TRANS NPN,MMBT3904LT1G,VBE(sat)=0.85V,HFE=300,Vceo=40V,Ic(sat)=200mA,SOT23-3P,SMD,ROHS,HF</t>
  </si>
  <si>
    <t>MMBT3904LT1G</t>
  </si>
  <si>
    <t>510101700-280-H</t>
  </si>
  <si>
    <t>TRANS NPN,MMBT3904,VBE(sat)=0.85V,HFE=300,Vceo=40V,Ic(sat)=200mA,SOT23-3P,SMD,ROHS,HF</t>
  </si>
  <si>
    <t>510101700-77W-G</t>
  </si>
  <si>
    <t>TRANS NPN,MMBT3904,VBE(sat)=0.95V,HFE=300,Vceo=40V,Ic(sat)=200mA,SOT23-3P,SMD,ROHS,HF</t>
  </si>
  <si>
    <t>51010M900-60E-G</t>
  </si>
  <si>
    <t>TRANS NPN,MMBT3904LS-HAF,VBE(sat)=0.85V,HFE=300,Vceo=40V,Ic=200mA,SOT23-3P,SMD,ROHS,HF</t>
  </si>
  <si>
    <t>MMBT3904LS-HAF</t>
  </si>
  <si>
    <t>51010FT00-131-H</t>
  </si>
  <si>
    <t>TRANS NPN,TMBT3904,LM(T,VBE(sat)=0.95V,HFE=300,Vceo=50V,Ic(sat)=200mA,SOT23-3P,SMD,ROHS,HF</t>
  </si>
  <si>
    <t>TMBT3904,LM(T</t>
  </si>
  <si>
    <t>91</t>
  </si>
  <si>
    <t>62120E400-015-G</t>
  </si>
  <si>
    <t>SPCAP,470uF,+/-20%,2.5V,2000hs,-40~+105C,I(ripple)=4A,ESR=4.5m Ohm,SMD2816,ROHS,HF</t>
  </si>
  <si>
    <t>ECASD60E477M4R5K00</t>
  </si>
  <si>
    <t>PC171</t>
  </si>
  <si>
    <t>62120KT00-31N-H</t>
  </si>
  <si>
    <t>CPCAP,470uF,+/-20%,2.5V,2000hs,-55~+105C,I(ripple)=8.5A,ESR=4.5m Ohm,SMD7.3X4.3,ROHS,HF</t>
  </si>
  <si>
    <t>ACAH2R5S471E04</t>
  </si>
  <si>
    <t>62120E400-024-H</t>
  </si>
  <si>
    <t>EEFSX0E471E4</t>
  </si>
  <si>
    <t>108</t>
  </si>
  <si>
    <t>63015CA00-059-G</t>
  </si>
  <si>
    <t>Chip Inductor,1.0uH@1MHz,+/-20%,Isat=2.1A,Irate=1.8A,DCR=115m Ohm,SMD0603,ROHS,HF</t>
  </si>
  <si>
    <t>TMIM160808HL-1R0MBCD</t>
  </si>
  <si>
    <t>PL802</t>
  </si>
  <si>
    <t>123</t>
  </si>
  <si>
    <t>320250K00-264-H</t>
  </si>
  <si>
    <t>IC,Dual-Channel Synchronous DC-DC Step-Down Controller With 5V/3.3V LDOs,RT6575EHGQW(2),WQFN-20P,SMD,ROHS,HF</t>
  </si>
  <si>
    <t>RT6575EHGQW(2)</t>
  </si>
  <si>
    <t>PU900</t>
  </si>
  <si>
    <t>32028HA00-279-G</t>
  </si>
  <si>
    <t>IC,System Power PWM Controller with Economy Standby Mode,APW8833AQBI-TRG,TQFN-20P,SMD,RoHS,HF</t>
  </si>
  <si>
    <t>APW8833AQBI-TRG</t>
  </si>
  <si>
    <t>320261200-279-G</t>
  </si>
  <si>
    <t>IC,System Power PWM Controller with Economy Standby Mode,APW8833CQBI-TRG,TQFN-20P,SMD,RoHS,HF</t>
  </si>
  <si>
    <t>APW8833CQBI-TRG</t>
  </si>
  <si>
    <t>320278600-183-G</t>
  </si>
  <si>
    <t>IC,Dual Synchronous, Step-Down Controller with 5-V and 3.3-V LDOs,TPS51275CRUKR,WQFN-20P,SMD,RoHS,HF</t>
  </si>
  <si>
    <t>TPS51275CRUKR</t>
  </si>
  <si>
    <t>124</t>
  </si>
  <si>
    <t>T-PTX0000-G</t>
  </si>
  <si>
    <t>IC,PCIe Gen3x2 Redriver,PS8560QFN40GTR-A1,Version:A1,QFN-40P,SMD,ROHS,HF</t>
  </si>
  <si>
    <t>PARADE</t>
  </si>
  <si>
    <t>PS8560QFN40GTR-A1</t>
  </si>
  <si>
    <t>REU800</t>
  </si>
  <si>
    <t>137</t>
  </si>
  <si>
    <t>21084KM00-09N-G</t>
  </si>
  <si>
    <t>IC,Trusted Platform Module Family 2.0,NPCT760HAFYX,QFN-32P,SMD,ROHS,HF</t>
  </si>
  <si>
    <t>NPCT760HAFYX</t>
  </si>
  <si>
    <t>U40</t>
  </si>
  <si>
    <t>141</t>
  </si>
  <si>
    <t>521808U00-940-H</t>
  </si>
  <si>
    <t>TVS-Array,Ir(max)=1.5uA,Vc(typ)=12V,Vrwm(max)=5V,Vbr(min)=6V,15KV(air),10KV(contact),DFN-10P,SMD,ROHS,HF</t>
  </si>
  <si>
    <t>AZ1045-04F.R7G</t>
  </si>
  <si>
    <t>UD101,UD102,VU1,VU100,VU101,VU2</t>
  </si>
  <si>
    <t>52180PQ00-262-H</t>
  </si>
  <si>
    <t>TVS-Array,Ir(max)=0.1uA,Vc(max)=8.5V@Itlp=16A,Vrwm(max)=5V,Vbr(min)=6V,30KV(air),30KV(contact),DFN-10P,SMD,ROHS,HF</t>
  </si>
  <si>
    <t>AOZ8S309UD4-05</t>
  </si>
  <si>
    <t>52180U700-3SW-G</t>
  </si>
  <si>
    <t>TVS-Array,Ir(max)=0.2uA,Vcl(max)=11V@Ipp=5A,Vrwm(max)=5V,Vbr(min)=6V,30KV(contact),30KV(air),DFN2510-10P,SMD,ROHS,HF</t>
  </si>
  <si>
    <t>AR0524P5B</t>
  </si>
  <si>
    <t>52180SQ00-52N-G</t>
  </si>
  <si>
    <t>TVS-Array,Ir(max)=1mA,Vc(max)=10V@Ipp=6A,Vrwm(max)=5V,Vbr(min)=6V,17KV(air),15KV(contact),DFN-10P,SMD,ROHS,HF</t>
  </si>
  <si>
    <t>BV-FK05U4CB</t>
  </si>
  <si>
    <t>52180VK00-280-G</t>
  </si>
  <si>
    <t>TVS-Array,Ir(max)=1uA,Vcl(typ)=11V@Ipp=16A,Vrwm(max)=5V,Vbr(min)=6V,14KV(contact),15KV(air),DFN2510-10P,SMD,ROHS,HF</t>
  </si>
  <si>
    <t>PB4415-DFA</t>
  </si>
  <si>
    <t>52180YW00-15M-G</t>
  </si>
  <si>
    <t>TVS-Array,Ir(max)=0.1uA,Vc(typ)=9.5V@Ipp=16A,Vrwm(max)=5V,Vtl(min)=5V,15KV(air),15KV(contact),DFN2510-10P,SMD,ROHS,HF</t>
  </si>
  <si>
    <t>SYT36A05DVD</t>
  </si>
  <si>
    <t>52180RL00-82G-G</t>
  </si>
  <si>
    <t>TVS-Array,Ir(max)=500nA,Vc(max)=8V@Ipp=1A,Vrwm(max)=5V,Vbr(min)=6V,15KV(air),12KV(contact),DFN-10P,SMD,ROHS,HF</t>
  </si>
  <si>
    <t>WS5414K9C</t>
  </si>
  <si>
    <t>142</t>
  </si>
  <si>
    <t>72040AH00-092-H</t>
  </si>
  <si>
    <t>Common Filter,90 Ohm@100MHz,+/-25%,Irate=300mA,DCR=600m Ohm,2Line,SMD0504,ROHS,HF</t>
  </si>
  <si>
    <t>MCM1012B900F06BE</t>
  </si>
  <si>
    <t>UL102,UL900,UL901</t>
  </si>
  <si>
    <t>720402K00-059-H</t>
  </si>
  <si>
    <t>MCF1210BF2-900T03</t>
  </si>
  <si>
    <t>155</t>
  </si>
  <si>
    <t>71013C100-155-G</t>
  </si>
  <si>
    <t>XTAL,38.4MHz,+/-10ppm,CL=12pF,C0=3pF,Rs=50 Ohm,SMD-4P,ROHS,HF</t>
  </si>
  <si>
    <t>E3SB38E0X0010E</t>
  </si>
  <si>
    <t>Y1</t>
  </si>
  <si>
    <t>71013BY00-0G5-G</t>
  </si>
  <si>
    <t>3S384F1002</t>
  </si>
  <si>
    <t>71013C000-098-G</t>
  </si>
  <si>
    <t>X3S038400BC1H-CDEPZ</t>
  </si>
  <si>
    <t>710138H00-155-H</t>
  </si>
  <si>
    <t>XTAL,38.4MHz,+/-10ppm,CL=12pF,C0=3pF,Rs=30 Ohm,SMD-4P,ROHS,HF</t>
  </si>
  <si>
    <t>E3SB38E0X000BE</t>
  </si>
  <si>
    <t>710141U00-180-G</t>
  </si>
  <si>
    <t>XTL571500-F113-028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</si>
</sst>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name val="新細明體"/>
      <family val="2"/>
      <color indexed="8"/>
      <sz val="11"/>
      <scheme val="minor"/>
    </font>
    <font>
      <name val="Calibri"/>
      <family val="2"/>
      <b val="1"/>
      <sz val="8"/>
    </font>
    <font>
      <name val="Calibri"/>
      <family val="2"/>
      <b val="1"/>
      <color indexed="9"/>
      <sz val="8"/>
    </font>
    <font>
      <name val="Calibri"/>
      <family val="2"/>
      <b val="1"/>
      <color indexed="9"/>
      <sz val="10"/>
    </font>
    <font>
      <name val="Calibri"/>
      <family val="2"/>
      <b val="1"/>
      <sz val="8"/>
    </font>
    <font>
      <name val="Calibri"/>
      <family val="2"/>
      <b val="1"/>
      <color indexed="9"/>
      <sz val="8"/>
    </font>
    <font>
      <name val="Calibri"/>
      <family val="2"/>
      <b val="1"/>
      <color indexed="9"/>
      <sz val="8"/>
    </font>
    <font>
      <name val="Calibri"/>
      <family val="2"/>
      <sz val="8"/>
    </font>
    <font>
      <name val="Calibri"/>
      <family val="2"/>
      <sz val="8"/>
    </font>
    <font>
      <name val="Calibri"/>
      <family val="2"/>
      <sz val="8"/>
    </font>
    <font>
      <name val="Calibri"/>
      <family val="2"/>
      <sz val="8"/>
    </font>
    <font>
      <name val="新細明體"/>
      <charset val="136"/>
      <family val="3"/>
      <sz val="9"/>
      <scheme val="minor"/>
    </font>
    <font>
      <name val="Calibri"/>
      <family val="2"/>
      <sz val="8"/>
    </font>
  </fonts>
  <fills count="6">
    <fill>
      <patternFill patternType="none"/>
    </fill>
    <fill>
      <patternFill patternType="gray125"/>
    </fill>
    <fill>
      <patternFill patternType="solid">
        <fgColor indexed="8"/>
      </patternFill>
    </fill>
    <fill>
      <patternFill patternType="solid">
        <fgColor indexed="9"/>
      </patternFill>
    </fill>
    <fill>
      <patternFill patternType="solid">
        <fgColor indexed="55"/>
      </patternFill>
    </fill>
    <fill>
      <patternFill patternType="solid">
        <fgColor indexed="26"/>
      </patternFill>
    </fill>
  </fills>
  <borders count="2">
    <border>
      <left/>
      <right/>
      <top/>
      <bottom/>
      <diagonal/>
    </border>
    <border>
      <left style="thin">
        <color auto="true"/>
      </left>
      <right style="thin">
        <color auto="true"/>
      </right>
      <top style="thin">
        <color auto="true"/>
      </top>
      <bottom style="thin">
        <color auto="true"/>
      </bottom>
      <diagonal/>
    </border>
  </borders>
  <cellStyleXfs count="1">
    <xf numFmtId="0" fontId="0" fillId="0" borderId="0">
      <alignment vertical="center"/>
    </xf>
  </cellStyleXfs>
  <cellXfs count="19">
    <xf numFmtId="0" fontId="0" fillId="0" borderId="0" xfId="0">
      <alignment vertical="center"/>
    </xf>
    <xf numFmtId="0" fontId="1" fillId="3" borderId="0" xfId="0" applyFont="true" applyFill="true" applyAlignment="true">
      <alignment horizontal="left" vertical="center"/>
    </xf>
    <xf numFmtId="0" fontId="2" fillId="4" borderId="1" xfId="0" applyFont="true" applyFill="true" applyBorder="true" applyAlignment="true">
      <alignment horizontal="center" vertical="center" wrapText="true"/>
    </xf>
    <xf numFmtId="0" fontId="4" fillId="3" borderId="0" xfId="0" applyFont="true" applyFill="true" applyAlignment="true">
      <alignment horizontal="left" vertical="center"/>
    </xf>
    <xf numFmtId="0" fontId="5" fillId="4" borderId="1" xfId="0" applyFont="true" applyFill="true" applyBorder="true" applyAlignment="true">
      <alignment horizontal="center" vertical="center" wrapText="true"/>
    </xf>
    <xf numFmtId="0" fontId="6" fillId="4" borderId="1" xfId="0" applyFont="true" applyFill="true" applyBorder="true" applyAlignment="true">
      <alignment horizontal="center" vertical="center" wrapText="true"/>
    </xf>
    <xf numFmtId="0" fontId="7" fillId="0" borderId="1" xfId="0" applyFont="true" applyBorder="true" applyAlignment="true">
      <alignment horizontal="center" vertical="center" wrapText="true"/>
    </xf>
    <xf numFmtId="0" fontId="8" fillId="5" borderId="1" xfId="0" applyFont="true" applyFill="true" applyBorder="true" applyAlignment="true">
      <alignment horizontal="center" vertical="center" wrapText="true"/>
    </xf>
    <xf numFmtId="0" fontId="9" fillId="0" borderId="1" xfId="0" applyFont="true" applyBorder="true" applyAlignment="true">
      <alignment horizontal="left" vertical="center" wrapText="true"/>
    </xf>
    <xf numFmtId="0" fontId="10" fillId="5" borderId="1" xfId="0" applyFont="true" applyFill="true" applyBorder="true" applyAlignment="true">
      <alignment horizontal="left" vertical="center" wrapText="true"/>
    </xf>
    <xf numFmtId="0" fontId="0" fillId="0" borderId="0" xfId="0" applyAlignment="true"/>
    <xf numFmtId="0" fontId="3" fillId="2" borderId="0" xfId="0" applyFont="true" applyFill="true" applyAlignment="true">
      <alignment horizontal="center" vertical="center" wrapText="true"/>
    </xf>
    <xf numFmtId="0" fontId="0" fillId="0" borderId="0" xfId="0">
      <alignment vertical="center"/>
    </xf>
    <xf numFmtId="0" fontId="9" fillId="0" borderId="1" xfId="0" applyFont="true" applyBorder="true" applyAlignment="true">
      <alignment horizontal="left" vertical="center"/>
    </xf>
    <xf numFmtId="0" fontId="10" fillId="5" borderId="1" xfId="0" applyFont="true" applyFill="true" applyBorder="true" applyAlignment="true">
      <alignment horizontal="left" vertical="center"/>
    </xf>
    <xf numFmtId="0" fontId="9" fillId="0" borderId="1" xfId="0" applyFont="true" applyBorder="true" applyAlignment="true">
      <alignment horizontal="center" vertical="center" wrapText="true"/>
    </xf>
    <xf numFmtId="0" fontId="10" fillId="5" borderId="1" xfId="0" applyFont="true" applyFill="true" applyBorder="true" applyAlignment="true">
      <alignment horizontal="center" vertical="center" wrapText="true"/>
    </xf>
    <xf numFmtId="0" fontId="12" fillId="0" borderId="1" xfId="0" applyFont="true" applyBorder="true" applyAlignment="true">
      <alignment horizontal="center" vertical="center" wrapText="true"/>
    </xf>
    <xf numFmtId="0" fontId="12" fillId="5" borderId="1" xfId="0" applyFont="true" applyFill="true" applyBorder="true" applyAlignment="true">
      <alignment horizontal="center" vertical="center" wrapText="true"/>
    </xf>
  </cellXfs>
  <cellStyles count="1">
    <cellStyle name="一般"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tabSelected="true" workbookViewId="0">
      <selection activeCell="E12" sqref="E12"/>
    </sheetView>
  </sheetViews>
  <sheetFormatPr defaultRowHeight="15"/>
  <cols>
    <col customWidth="true" max="1" min="1" width="5"/>
    <col customWidth="true" max="2" min="2" width="14"/>
    <col customWidth="true" max="3" min="3" width="9.75"/>
    <col customWidth="true" max="4" min="4" width="36"/>
    <col customWidth="true" max="5" min="5" width="15"/>
    <col customWidth="true" max="6" min="6" width="20"/>
    <col customWidth="true" max="7" min="7" width="5"/>
    <col customWidth="true" max="8" min="8" width="23.25"/>
    <col bestFit="true" customWidth="true" max="9" min="9" width="6.875"/>
    <col customWidth="true" max="10" min="10" width="5.625"/>
    <col customWidth="true" max="18" min="11" width="6"/>
  </cols>
  <sheetData>
    <row r="1" spans="1:18">
      <c r="A1" s="11" t="s">
        <v>0</v>
      </c>
      <c r="B1" s="12"/>
      <c r="C1" s="12"/>
      <c r="D1" s="12"/>
      <c r="E1" s="12"/>
      <c r="F1" s="12"/>
      <c r="G1" s="12"/>
      <c r="H1" s="12"/>
      <c r="I1" s="12"/>
      <c r="J1" s="12"/>
      <c r="K1" s="12"/>
      <c r="L1" s="12"/>
      <c r="M1" s="12"/>
      <c r="N1" s="12"/>
      <c r="O1" s="12"/>
      <c r="P1" s="12"/>
      <c r="Q1" s="12"/>
      <c r="R1" s="12"/>
    </row>
    <row r="2" spans="1:18">
      <c r="A2" s="11" t="s">
        <v>6</v>
      </c>
      <c r="B2" s="12"/>
      <c r="C2" s="12"/>
      <c r="D2" s="12"/>
      <c r="E2" s="12"/>
      <c r="F2" s="12"/>
      <c r="G2" s="12"/>
      <c r="H2" s="12"/>
      <c r="I2" s="12"/>
      <c r="J2" s="12"/>
      <c r="K2" s="12"/>
      <c r="L2" s="12"/>
      <c r="M2" s="12"/>
      <c r="N2" s="12"/>
      <c r="O2" s="12"/>
      <c r="P2" s="12"/>
      <c r="Q2" s="12"/>
      <c r="R2" s="12"/>
    </row>
    <row r="3" spans="1:18">
      <c r="A3" s="3"/>
      <c r="B3" s="1" t="s">
        <v>46</v>
      </c>
      <c r="C3" s="3"/>
      <c r="D3" s="1" t="s">
        <v>47</v>
      </c>
      <c r="E3" s="3"/>
      <c r="F3" s="1" t="s">
        <v>48</v>
      </c>
      <c r="G3" s="3"/>
      <c r="H3" s="1" t="s">
        <v>49</v>
      </c>
      <c r="I3" s="3"/>
      <c r="J3" s="1" t="s">
        <v>50</v>
      </c>
      <c r="K3" s="3"/>
      <c r="L3" s="3"/>
      <c r="M3" s="3"/>
      <c r="N3" s="3"/>
      <c r="O3" s="3"/>
      <c r="P3" s="3"/>
      <c r="Q3" s="3"/>
      <c r="R3" s="3"/>
    </row>
    <row r="4" spans="1:18" ht="20.4">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20.4">
      <c r="A5" s="4" t="s">
        <v>1</v>
      </c>
      <c r="B5" s="4" t="s">
        <v>2</v>
      </c>
      <c r="C5" s="4" t="s">
        <v>3</v>
      </c>
      <c r="D5" s="4" t="s">
        <v>14</v>
      </c>
      <c r="E5" s="4" t="s">
        <v>4</v>
      </c>
      <c r="F5" s="4" t="s">
        <v>5</v>
      </c>
      <c r="G5" s="4" t="s">
        <v>15</v>
      </c>
      <c r="H5" s="4" t="s">
        <v>16</v>
      </c>
      <c r="I5" s="4" t="s">
        <v>17</v>
      </c>
      <c r="J5" s="4" t="s">
        <v>18</v>
      </c>
      <c r="K5" s="2" t="s">
        <v>19</v>
      </c>
      <c r="L5" s="2" t="s">
        <v>19</v>
      </c>
      <c r="M5" s="2" t="s">
        <v>19</v>
      </c>
      <c r="N5" s="2" t="s">
        <v>19</v>
      </c>
      <c r="O5" s="2" t="s">
        <v>19</v>
      </c>
      <c r="P5" s="2" t="s">
        <v>19</v>
      </c>
      <c r="Q5" s="2" t="s">
        <v>19</v>
      </c>
      <c r="R5" s="4" t="s">
        <v>20</v>
      </c>
    </row>
    <row r="6" spans="1:18" ht="30.6">
      <c r="A6" s="6" t="s">
        <v>54</v>
      </c>
      <c r="B6" s="8" t="s">
        <v>21</v>
      </c>
      <c r="C6" s="8"/>
      <c r="D6" s="8" t="s">
        <v>22</v>
      </c>
      <c r="E6" s="8" t="s">
        <v>23</v>
      </c>
      <c r="F6" s="8" t="s">
        <v>24</v>
      </c>
      <c r="G6" s="6">
        <v>1</v>
      </c>
      <c r="H6" s="13" t="s">
        <v>25</v>
      </c>
      <c r="I6" s="15" t="str">
        <f>=G6*J6</f>
        <v>0</v>
      </c>
      <c r="J6" s="15" t="str">
        <f>IF(EXACT(K6,"V"),K$5,0)+IF(EXACT(L6,"V"),L$5,0)+IF(EXACT(M6,"V"),M$5,0)+IF(EXACT(N6,"V"),N$5,0)+IF(EXACT(O6,"V"),O$5,0)+IF(EXACT(P6,"V"),P$5,0)+IF(EXACT(Q6,"V"),Q$5,0)</f>
        <v>0</v>
      </c>
      <c r="K6" s="17"/>
      <c r="L6" s="17" t="s">
        <v>19</v>
      </c>
      <c r="M6" s="17" t="s">
        <v>19</v>
      </c>
      <c r="N6" s="17" t="s">
        <v>19</v>
      </c>
      <c r="O6" s="17" t="s">
        <v>19</v>
      </c>
      <c r="P6" s="17" t="s">
        <v>19</v>
      </c>
      <c r="Q6" s="17" t="s">
        <v>19</v>
      </c>
      <c r="R6" s="15" t="s">
        <v>19</v>
      </c>
    </row>
    <row r="7" spans="1:18" ht="20.4">
      <c r="A7" s="6">
        <v>43</v>
      </c>
      <c r="B7" s="8" t="s">
        <v>55</v>
      </c>
      <c r="C7" s="8"/>
      <c r="D7" s="8" t="s">
        <v>56</v>
      </c>
      <c r="E7" s="8" t="s">
        <v>57</v>
      </c>
      <c r="F7" s="8" t="s">
        <v>58</v>
      </c>
      <c r="G7" s="6">
        <v>6</v>
      </c>
      <c r="H7" s="13" t="s">
        <v>30</v>
      </c>
      <c r="I7" s="15" t="str">
        <f>=G7*J7</f>
        <v>0</v>
      </c>
      <c r="J7" s="15" t="str">
        <f>IF(EXACT(K7,"V"),K$5,0)+IF(EXACT(L7,"V"),L$5,0)+IF(EXACT(M7,"V"),M$5,0)+IF(EXACT(N7,"V"),N$5,0)+IF(EXACT(O7,"V"),O$5,0)+IF(EXACT(P7,"V"),P$5,0)+IF(EXACT(Q7,"V"),Q$5,0)</f>
        <v>0</v>
      </c>
      <c r="K7" s="17"/>
      <c r="L7" s="17" t="s">
        <v>19</v>
      </c>
      <c r="M7" s="17" t="s">
        <v>19</v>
      </c>
      <c r="N7" s="17" t="s">
        <v>19</v>
      </c>
      <c r="O7" s="17" t="s">
        <v>19</v>
      </c>
      <c r="P7" s="17" t="s">
        <v>19</v>
      </c>
      <c r="Q7" s="17" t="s">
        <v>19</v>
      </c>
      <c r="R7" s="15" t="s">
        <v>19</v>
      </c>
    </row>
    <row r="8" spans="1:18">
      <c r="A8" s="6"/>
      <c r="B8" s="8" t="s">
        <v>59</v>
      </c>
      <c r="C8" s="8"/>
      <c r="D8" s="8" t="s">
        <v>60</v>
      </c>
      <c r="E8" s="8" t="s">
        <v>61</v>
      </c>
      <c r="F8" s="8" t="s">
        <v>62</v>
      </c>
      <c r="G8" s="6"/>
      <c r="H8" s="13"/>
      <c r="I8" s="15" t="str">
        <f>=G8*J8</f>
      </c>
      <c r="J8" s="15" t="str">
        <f>IF(EXACT(K8,"V"),K$5,0)+IF(EXACT(L8,"V"),L$5,0)+IF(EXACT(M8,"V"),M$5,0)+IF(EXACT(N8,"V"),N$5,0)+IF(EXACT(O8,"V"),O$5,0)+IF(EXACT(P8,"V"),P$5,0)+IF(EXACT(Q8,"V"),Q$5,0)</f>
      </c>
      <c r="K8" s="17"/>
      <c r="L8" s="17"/>
      <c r="M8" s="17"/>
      <c r="N8" s="17"/>
      <c r="O8" s="17"/>
      <c r="P8" s="17"/>
      <c r="Q8" s="17"/>
      <c r="R8" s="15" t="s">
        <v>19</v>
      </c>
    </row>
    <row r="9">
      <c r="A9" s="6"/>
      <c r="B9" s="8" t="s">
        <v>63</v>
      </c>
      <c r="C9" s="8"/>
      <c r="D9" s="8" t="s">
        <v>64</v>
      </c>
      <c r="E9" s="8" t="s">
        <v>65</v>
      </c>
      <c r="F9" s="8" t="s">
        <v>66</v>
      </c>
      <c r="G9" s="6"/>
      <c r="H9" s="13"/>
      <c r="I9" s="15" t="str">
        <f>=G9*J9</f>
      </c>
      <c r="J9" s="15" t="str">
        <f>IF(EXACT(K9,"V"),K$5,0)+IF(EXACT(L9,"V"),L$5,0)+IF(EXACT(M9,"V"),M$5,0)+IF(EXACT(N9,"V"),N$5,0)+IF(EXACT(O9,"V"),O$5,0)+IF(EXACT(P9,"V"),P$5,0)+IF(EXACT(Q9,"V"),Q$5,0)</f>
      </c>
      <c r="K9" s="17"/>
      <c r="L9" s="17"/>
      <c r="M9" s="17"/>
      <c r="N9" s="17"/>
      <c r="O9" s="17"/>
      <c r="P9" s="17"/>
      <c r="Q9" s="17"/>
      <c r="R9" s="15" t="s">
        <v>19</v>
      </c>
    </row>
    <row r="10">
      <c r="A10" s="6"/>
      <c r="B10" s="8" t="s">
        <v>67</v>
      </c>
      <c r="C10" s="8"/>
      <c r="D10" s="8" t="s">
        <v>68</v>
      </c>
      <c r="E10" s="8" t="s">
        <v>69</v>
      </c>
      <c r="F10" s="8" t="s">
        <v>70</v>
      </c>
      <c r="G10" s="6"/>
      <c r="H10" s="13"/>
      <c r="I10" s="15" t="str">
        <f>=G10*J10</f>
      </c>
      <c r="J10" s="15" t="str">
        <f>IF(EXACT(K10,"V"),K$5,0)+IF(EXACT(L10,"V"),L$5,0)+IF(EXACT(M10,"V"),M$5,0)+IF(EXACT(N10,"V"),N$5,0)+IF(EXACT(O10,"V"),O$5,0)+IF(EXACT(P10,"V"),P$5,0)+IF(EXACT(Q10,"V"),Q$5,0)</f>
      </c>
      <c r="K10" s="17"/>
      <c r="L10" s="17"/>
      <c r="M10" s="17"/>
      <c r="N10" s="17"/>
      <c r="O10" s="17"/>
      <c r="P10" s="17"/>
      <c r="Q10" s="17"/>
      <c r="R10" s="15" t="s">
        <v>19</v>
      </c>
    </row>
    <row r="11">
      <c r="A11" s="6"/>
      <c r="B11" s="8" t="s">
        <v>71</v>
      </c>
      <c r="C11" s="8"/>
      <c r="D11" s="8" t="s">
        <v>72</v>
      </c>
      <c r="E11" s="8" t="s">
        <v>73</v>
      </c>
      <c r="F11" s="8" t="s">
        <v>74</v>
      </c>
      <c r="G11" s="6"/>
      <c r="H11" s="13"/>
      <c r="I11" s="15" t="str">
        <f>=G11*J11</f>
      </c>
      <c r="J11" s="15" t="str">
        <f>IF(EXACT(K11,"V"),K$5,0)+IF(EXACT(L11,"V"),L$5,0)+IF(EXACT(M11,"V"),M$5,0)+IF(EXACT(N11,"V"),N$5,0)+IF(EXACT(O11,"V"),O$5,0)+IF(EXACT(P11,"V"),P$5,0)+IF(EXACT(Q11,"V"),Q$5,0)</f>
      </c>
      <c r="K11" s="17"/>
      <c r="L11" s="17"/>
      <c r="M11" s="17"/>
      <c r="N11" s="17"/>
      <c r="O11" s="17"/>
      <c r="P11" s="17"/>
      <c r="Q11" s="17"/>
      <c r="R11" s="15" t="s">
        <v>19</v>
      </c>
    </row>
    <row r="12">
      <c r="A12" s="7" t="s">
        <v>75</v>
      </c>
      <c r="B12" s="9" t="s">
        <v>26</v>
      </c>
      <c r="C12" s="9"/>
      <c r="D12" s="9" t="s">
        <v>27</v>
      </c>
      <c r="E12" s="9" t="s">
        <v>28</v>
      </c>
      <c r="F12" s="9" t="s">
        <v>29</v>
      </c>
      <c r="G12" s="7">
        <v>6</v>
      </c>
      <c r="H12" s="14" t="s">
        <v>30</v>
      </c>
      <c r="I12" s="16" t="str">
        <f>=G12*J12</f>
      </c>
      <c r="J12" s="16" t="str">
        <f>IF(EXACT(K12,"V"),K$5,0)+IF(EXACT(L12,"V"),L$5,0)+IF(EXACT(M12,"V"),M$5,0)+IF(EXACT(N12,"V"),N$5,0)+IF(EXACT(O12,"V"),O$5,0)+IF(EXACT(P12,"V"),P$5,0)+IF(EXACT(Q12,"V"),Q$5,0)</f>
      </c>
      <c r="K12" s="18"/>
      <c r="L12" s="18"/>
      <c r="M12" s="18"/>
      <c r="N12" s="18"/>
      <c r="O12" s="18"/>
      <c r="P12" s="18"/>
      <c r="Q12" s="18"/>
      <c r="R12" s="16" t="s">
        <v>19</v>
      </c>
    </row>
    <row r="13">
      <c r="A13" s="7"/>
      <c r="B13" s="9" t="s">
        <v>76</v>
      </c>
      <c r="C13" s="9"/>
      <c r="D13" s="9" t="s">
        <v>77</v>
      </c>
      <c r="E13" s="9" t="s">
        <v>78</v>
      </c>
      <c r="F13" s="9" t="s">
        <v>79</v>
      </c>
      <c r="G13" s="7"/>
      <c r="H13" s="14"/>
      <c r="I13" s="16" t="str">
        <f>=G13*J13</f>
      </c>
      <c r="J13" s="16" t="str">
        <f>IF(EXACT(K13,"V"),K$5,0)+IF(EXACT(L13,"V"),L$5,0)+IF(EXACT(M13,"V"),M$5,0)+IF(EXACT(N13,"V"),N$5,0)+IF(EXACT(O13,"V"),O$5,0)+IF(EXACT(P13,"V"),P$5,0)+IF(EXACT(Q13,"V"),Q$5,0)</f>
      </c>
      <c r="K13" s="18"/>
      <c r="L13" s="18"/>
      <c r="M13" s="18"/>
      <c r="N13" s="18"/>
      <c r="O13" s="18"/>
      <c r="P13" s="18"/>
      <c r="Q13" s="18"/>
      <c r="R13" s="16" t="s">
        <v>19</v>
      </c>
    </row>
    <row r="14">
      <c r="A14" s="7"/>
      <c r="B14" s="9" t="s">
        <v>80</v>
      </c>
      <c r="C14" s="9"/>
      <c r="D14" s="9" t="s">
        <v>81</v>
      </c>
      <c r="E14" s="9" t="s">
        <v>82</v>
      </c>
      <c r="F14" s="9" t="s">
        <v>83</v>
      </c>
      <c r="G14" s="7"/>
      <c r="H14" s="14"/>
      <c r="I14" s="16" t="str">
        <f>=G14*J14</f>
      </c>
      <c r="J14" s="16" t="str">
        <f>IF(EXACT(K14,"V"),K$5,0)+IF(EXACT(L14,"V"),L$5,0)+IF(EXACT(M14,"V"),M$5,0)+IF(EXACT(N14,"V"),N$5,0)+IF(EXACT(O14,"V"),O$5,0)+IF(EXACT(P14,"V"),P$5,0)+IF(EXACT(Q14,"V"),Q$5,0)</f>
      </c>
      <c r="K14" s="18"/>
      <c r="L14" s="18"/>
      <c r="M14" s="18"/>
      <c r="N14" s="18"/>
      <c r="O14" s="18"/>
      <c r="P14" s="18"/>
      <c r="Q14" s="18"/>
      <c r="R14" s="16" t="s">
        <v>19</v>
      </c>
    </row>
    <row r="15">
      <c r="A15" s="6" t="s">
        <v>84</v>
      </c>
      <c r="B15" s="8" t="s">
        <v>85</v>
      </c>
      <c r="C15" s="8"/>
      <c r="D15" s="8" t="s">
        <v>86</v>
      </c>
      <c r="E15" s="8" t="s">
        <v>28</v>
      </c>
      <c r="F15" s="8" t="s">
        <v>87</v>
      </c>
      <c r="G15" s="6">
        <v>4</v>
      </c>
      <c r="H15" s="13" t="s">
        <v>88</v>
      </c>
      <c r="I15" s="15" t="str">
        <f>=G15*J15</f>
      </c>
      <c r="J15" s="15" t="str">
        <f>IF(EXACT(K15,"V"),K$5,0)+IF(EXACT(L15,"V"),L$5,0)+IF(EXACT(M15,"V"),M$5,0)+IF(EXACT(N15,"V"),N$5,0)+IF(EXACT(O15,"V"),O$5,0)+IF(EXACT(P15,"V"),P$5,0)+IF(EXACT(Q15,"V"),Q$5,0)</f>
      </c>
      <c r="K15" s="17"/>
      <c r="L15" s="17"/>
      <c r="M15" s="17"/>
      <c r="N15" s="17"/>
      <c r="O15" s="17"/>
      <c r="P15" s="17"/>
      <c r="Q15" s="17"/>
      <c r="R15" s="15" t="s">
        <v>19</v>
      </c>
    </row>
    <row r="16">
      <c r="A16" s="6"/>
      <c r="B16" s="8" t="s">
        <v>89</v>
      </c>
      <c r="C16" s="8"/>
      <c r="D16" s="8" t="s">
        <v>90</v>
      </c>
      <c r="E16" s="8" t="s">
        <v>91</v>
      </c>
      <c r="F16" s="8" t="s">
        <v>92</v>
      </c>
      <c r="G16" s="6"/>
      <c r="H16" s="13"/>
      <c r="I16" s="15" t="str">
        <f>=G16*J16</f>
      </c>
      <c r="J16" s="15" t="str">
        <f>IF(EXACT(K16,"V"),K$5,0)+IF(EXACT(L16,"V"),L$5,0)+IF(EXACT(M16,"V"),M$5,0)+IF(EXACT(N16,"V"),N$5,0)+IF(EXACT(O16,"V"),O$5,0)+IF(EXACT(P16,"V"),P$5,0)+IF(EXACT(Q16,"V"),Q$5,0)</f>
      </c>
      <c r="K16" s="17"/>
      <c r="L16" s="17"/>
      <c r="M16" s="17"/>
      <c r="N16" s="17"/>
      <c r="O16" s="17"/>
      <c r="P16" s="17"/>
      <c r="Q16" s="17"/>
      <c r="R16" s="15" t="s">
        <v>19</v>
      </c>
    </row>
    <row r="17">
      <c r="A17" s="6"/>
      <c r="B17" s="8" t="s">
        <v>93</v>
      </c>
      <c r="C17" s="8"/>
      <c r="D17" s="8" t="s">
        <v>94</v>
      </c>
      <c r="E17" s="8" t="s">
        <v>95</v>
      </c>
      <c r="F17" s="8" t="s">
        <v>96</v>
      </c>
      <c r="G17" s="6"/>
      <c r="H17" s="13"/>
      <c r="I17" s="15" t="str">
        <f>=G17*J17</f>
      </c>
      <c r="J17" s="15" t="str">
        <f>IF(EXACT(K17,"V"),K$5,0)+IF(EXACT(L17,"V"),L$5,0)+IF(EXACT(M17,"V"),M$5,0)+IF(EXACT(N17,"V"),N$5,0)+IF(EXACT(O17,"V"),O$5,0)+IF(EXACT(P17,"V"),P$5,0)+IF(EXACT(Q17,"V"),Q$5,0)</f>
      </c>
      <c r="K17" s="17"/>
      <c r="L17" s="17"/>
      <c r="M17" s="17"/>
      <c r="N17" s="17"/>
      <c r="O17" s="17"/>
      <c r="P17" s="17"/>
      <c r="Q17" s="17"/>
      <c r="R17" s="15" t="s">
        <v>19</v>
      </c>
    </row>
    <row r="18">
      <c r="A18" s="6"/>
      <c r="B18" s="8" t="s">
        <v>97</v>
      </c>
      <c r="C18" s="8"/>
      <c r="D18" s="8" t="s">
        <v>98</v>
      </c>
      <c r="E18" s="8" t="s">
        <v>99</v>
      </c>
      <c r="F18" s="8" t="s">
        <v>100</v>
      </c>
      <c r="G18" s="6"/>
      <c r="H18" s="13"/>
      <c r="I18" s="15" t="str">
        <f>=G18*J18</f>
      </c>
      <c r="J18" s="15" t="str">
        <f>IF(EXACT(K18,"V"),K$5,0)+IF(EXACT(L18,"V"),L$5,0)+IF(EXACT(M18,"V"),M$5,0)+IF(EXACT(N18,"V"),N$5,0)+IF(EXACT(O18,"V"),O$5,0)+IF(EXACT(P18,"V"),P$5,0)+IF(EXACT(Q18,"V"),Q$5,0)</f>
      </c>
      <c r="K18" s="17"/>
      <c r="L18" s="17"/>
      <c r="M18" s="17"/>
      <c r="N18" s="17"/>
      <c r="O18" s="17"/>
      <c r="P18" s="17"/>
      <c r="Q18" s="17"/>
      <c r="R18" s="15" t="s">
        <v>19</v>
      </c>
    </row>
    <row r="19">
      <c r="A19" s="7" t="s">
        <v>101</v>
      </c>
      <c r="B19" s="9" t="s">
        <v>102</v>
      </c>
      <c r="C19" s="9"/>
      <c r="D19" s="9" t="s">
        <v>103</v>
      </c>
      <c r="E19" s="9" t="s">
        <v>61</v>
      </c>
      <c r="F19" s="9" t="s">
        <v>104</v>
      </c>
      <c r="G19" s="7">
        <v>2</v>
      </c>
      <c r="H19" s="14" t="s">
        <v>105</v>
      </c>
      <c r="I19" s="16" t="str">
        <f>=G19*J19</f>
      </c>
      <c r="J19" s="16" t="str">
        <f>IF(EXACT(K19,"V"),K$5,0)+IF(EXACT(L19,"V"),L$5,0)+IF(EXACT(M19,"V"),M$5,0)+IF(EXACT(N19,"V"),N$5,0)+IF(EXACT(O19,"V"),O$5,0)+IF(EXACT(P19,"V"),P$5,0)+IF(EXACT(Q19,"V"),Q$5,0)</f>
      </c>
      <c r="K19" s="18"/>
      <c r="L19" s="18"/>
      <c r="M19" s="18"/>
      <c r="N19" s="18"/>
      <c r="O19" s="18"/>
      <c r="P19" s="18"/>
      <c r="Q19" s="18"/>
      <c r="R19" s="16" t="s">
        <v>19</v>
      </c>
    </row>
    <row r="20">
      <c r="A20" s="7"/>
      <c r="B20" s="9" t="s">
        <v>106</v>
      </c>
      <c r="C20" s="9"/>
      <c r="D20" s="9" t="s">
        <v>107</v>
      </c>
      <c r="E20" s="9" t="s">
        <v>108</v>
      </c>
      <c r="F20" s="9" t="s">
        <v>109</v>
      </c>
      <c r="G20" s="7"/>
      <c r="H20" s="14"/>
      <c r="I20" s="16" t="str">
        <f>=G20*J20</f>
      </c>
      <c r="J20" s="16" t="str">
        <f>IF(EXACT(K20,"V"),K$5,0)+IF(EXACT(L20,"V"),L$5,0)+IF(EXACT(M20,"V"),M$5,0)+IF(EXACT(N20,"V"),N$5,0)+IF(EXACT(O20,"V"),O$5,0)+IF(EXACT(P20,"V"),P$5,0)+IF(EXACT(Q20,"V"),Q$5,0)</f>
      </c>
      <c r="K20" s="18"/>
      <c r="L20" s="18"/>
      <c r="M20" s="18"/>
      <c r="N20" s="18"/>
      <c r="O20" s="18"/>
      <c r="P20" s="18"/>
      <c r="Q20" s="18"/>
      <c r="R20" s="16" t="s">
        <v>19</v>
      </c>
    </row>
    <row r="21">
      <c r="A21" s="7"/>
      <c r="B21" s="9" t="s">
        <v>110</v>
      </c>
      <c r="C21" s="9"/>
      <c r="D21" s="9" t="s">
        <v>111</v>
      </c>
      <c r="E21" s="9" t="s">
        <v>112</v>
      </c>
      <c r="F21" s="9" t="s">
        <v>109</v>
      </c>
      <c r="G21" s="7"/>
      <c r="H21" s="14"/>
      <c r="I21" s="16" t="str">
        <f>=G21*J21</f>
      </c>
      <c r="J21" s="16" t="str">
        <f>IF(EXACT(K21,"V"),K$5,0)+IF(EXACT(L21,"V"),L$5,0)+IF(EXACT(M21,"V"),M$5,0)+IF(EXACT(N21,"V"),N$5,0)+IF(EXACT(O21,"V"),O$5,0)+IF(EXACT(P21,"V"),P$5,0)+IF(EXACT(Q21,"V"),Q$5,0)</f>
      </c>
      <c r="K21" s="18"/>
      <c r="L21" s="18"/>
      <c r="M21" s="18"/>
      <c r="N21" s="18"/>
      <c r="O21" s="18"/>
      <c r="P21" s="18"/>
      <c r="Q21" s="18"/>
      <c r="R21" s="16" t="s">
        <v>19</v>
      </c>
    </row>
    <row r="22">
      <c r="A22" s="7"/>
      <c r="B22" s="9" t="s">
        <v>113</v>
      </c>
      <c r="C22" s="9"/>
      <c r="D22" s="9" t="s">
        <v>114</v>
      </c>
      <c r="E22" s="9" t="s">
        <v>115</v>
      </c>
      <c r="F22" s="9" t="s">
        <v>116</v>
      </c>
      <c r="G22" s="7"/>
      <c r="H22" s="14"/>
      <c r="I22" s="16" t="str">
        <f>=G22*J22</f>
      </c>
      <c r="J22" s="16" t="str">
        <f>IF(EXACT(K22,"V"),K$5,0)+IF(EXACT(L22,"V"),L$5,0)+IF(EXACT(M22,"V"),M$5,0)+IF(EXACT(N22,"V"),N$5,0)+IF(EXACT(O22,"V"),O$5,0)+IF(EXACT(P22,"V"),P$5,0)+IF(EXACT(Q22,"V"),Q$5,0)</f>
      </c>
      <c r="K22" s="18"/>
      <c r="L22" s="18"/>
      <c r="M22" s="18"/>
      <c r="N22" s="18"/>
      <c r="O22" s="18"/>
      <c r="P22" s="18"/>
      <c r="Q22" s="18"/>
      <c r="R22" s="16" t="s">
        <v>19</v>
      </c>
    </row>
    <row r="23">
      <c r="A23" s="6" t="s">
        <v>117</v>
      </c>
      <c r="B23" s="8" t="s">
        <v>118</v>
      </c>
      <c r="C23" s="8"/>
      <c r="D23" s="8" t="s">
        <v>119</v>
      </c>
      <c r="E23" s="8" t="s">
        <v>120</v>
      </c>
      <c r="F23" s="8" t="s">
        <v>121</v>
      </c>
      <c r="G23" s="6">
        <v>2</v>
      </c>
      <c r="H23" s="13" t="s">
        <v>122</v>
      </c>
      <c r="I23" s="15" t="str">
        <f>=G23*J23</f>
      </c>
      <c r="J23" s="15" t="str">
        <f>IF(EXACT(K23,"V"),K$5,0)+IF(EXACT(L23,"V"),L$5,0)+IF(EXACT(M23,"V"),M$5,0)+IF(EXACT(N23,"V"),N$5,0)+IF(EXACT(O23,"V"),O$5,0)+IF(EXACT(P23,"V"),P$5,0)+IF(EXACT(Q23,"V"),Q$5,0)</f>
      </c>
      <c r="K23" s="17"/>
      <c r="L23" s="17"/>
      <c r="M23" s="17"/>
      <c r="N23" s="17"/>
      <c r="O23" s="17"/>
      <c r="P23" s="17"/>
      <c r="Q23" s="17"/>
      <c r="R23" s="15" t="s">
        <v>19</v>
      </c>
    </row>
    <row r="24">
      <c r="A24" s="6"/>
      <c r="B24" s="8" t="s">
        <v>123</v>
      </c>
      <c r="C24" s="8"/>
      <c r="D24" s="8" t="s">
        <v>119</v>
      </c>
      <c r="E24" s="8" t="s">
        <v>108</v>
      </c>
      <c r="F24" s="8" t="s">
        <v>121</v>
      </c>
      <c r="G24" s="6"/>
      <c r="H24" s="13"/>
      <c r="I24" s="15" t="str">
        <f>=G24*J24</f>
      </c>
      <c r="J24" s="15" t="str">
        <f>IF(EXACT(K24,"V"),K$5,0)+IF(EXACT(L24,"V"),L$5,0)+IF(EXACT(M24,"V"),M$5,0)+IF(EXACT(N24,"V"),N$5,0)+IF(EXACT(O24,"V"),O$5,0)+IF(EXACT(P24,"V"),P$5,0)+IF(EXACT(Q24,"V"),Q$5,0)</f>
      </c>
      <c r="K24" s="17"/>
      <c r="L24" s="17"/>
      <c r="M24" s="17"/>
      <c r="N24" s="17"/>
      <c r="O24" s="17"/>
      <c r="P24" s="17"/>
      <c r="Q24" s="17"/>
      <c r="R24" s="15" t="s">
        <v>19</v>
      </c>
    </row>
    <row r="25">
      <c r="A25" s="6"/>
      <c r="B25" s="8" t="s">
        <v>124</v>
      </c>
      <c r="C25" s="8"/>
      <c r="D25" s="8" t="s">
        <v>125</v>
      </c>
      <c r="E25" s="8" t="s">
        <v>126</v>
      </c>
      <c r="F25" s="8" t="s">
        <v>127</v>
      </c>
      <c r="G25" s="6"/>
      <c r="H25" s="13"/>
      <c r="I25" s="15" t="str">
        <f>=G25*J25</f>
      </c>
      <c r="J25" s="15" t="str">
        <f>IF(EXACT(K25,"V"),K$5,0)+IF(EXACT(L25,"V"),L$5,0)+IF(EXACT(M25,"V"),M$5,0)+IF(EXACT(N25,"V"),N$5,0)+IF(EXACT(O25,"V"),O$5,0)+IF(EXACT(P25,"V"),P$5,0)+IF(EXACT(Q25,"V"),Q$5,0)</f>
      </c>
      <c r="K25" s="17"/>
      <c r="L25" s="17"/>
      <c r="M25" s="17"/>
      <c r="N25" s="17"/>
      <c r="O25" s="17"/>
      <c r="P25" s="17"/>
      <c r="Q25" s="17"/>
      <c r="R25" s="15" t="s">
        <v>19</v>
      </c>
    </row>
    <row r="26">
      <c r="A26" s="6"/>
      <c r="B26" s="8" t="s">
        <v>128</v>
      </c>
      <c r="C26" s="8"/>
      <c r="D26" s="8" t="s">
        <v>129</v>
      </c>
      <c r="E26" s="8" t="s">
        <v>115</v>
      </c>
      <c r="F26" s="8" t="s">
        <v>130</v>
      </c>
      <c r="G26" s="6"/>
      <c r="H26" s="13"/>
      <c r="I26" s="15" t="str">
        <f>=G26*J26</f>
      </c>
      <c r="J26" s="15" t="str">
        <f>IF(EXACT(K26,"V"),K$5,0)+IF(EXACT(L26,"V"),L$5,0)+IF(EXACT(M26,"V"),M$5,0)+IF(EXACT(N26,"V"),N$5,0)+IF(EXACT(O26,"V"),O$5,0)+IF(EXACT(P26,"V"),P$5,0)+IF(EXACT(Q26,"V"),Q$5,0)</f>
      </c>
      <c r="K26" s="17"/>
      <c r="L26" s="17"/>
      <c r="M26" s="17"/>
      <c r="N26" s="17"/>
      <c r="O26" s="17"/>
      <c r="P26" s="17"/>
      <c r="Q26" s="17"/>
      <c r="R26" s="15" t="s">
        <v>19</v>
      </c>
    </row>
    <row r="27">
      <c r="A27" s="7" t="s">
        <v>131</v>
      </c>
      <c r="B27" s="9" t="s">
        <v>132</v>
      </c>
      <c r="C27" s="9"/>
      <c r="D27" s="9" t="s">
        <v>133</v>
      </c>
      <c r="E27" s="9" t="s">
        <v>95</v>
      </c>
      <c r="F27" s="9" t="s">
        <v>134</v>
      </c>
      <c r="G27" s="7">
        <v>2</v>
      </c>
      <c r="H27" s="14" t="s">
        <v>135</v>
      </c>
      <c r="I27" s="16" t="str">
        <f>=G27*J27</f>
      </c>
      <c r="J27" s="16" t="str">
        <f>IF(EXACT(K27,"V"),K$5,0)+IF(EXACT(L27,"V"),L$5,0)+IF(EXACT(M27,"V"),M$5,0)+IF(EXACT(N27,"V"),N$5,0)+IF(EXACT(O27,"V"),O$5,0)+IF(EXACT(P27,"V"),P$5,0)+IF(EXACT(Q27,"V"),Q$5,0)</f>
      </c>
      <c r="K27" s="18"/>
      <c r="L27" s="18"/>
      <c r="M27" s="18"/>
      <c r="N27" s="18"/>
      <c r="O27" s="18"/>
      <c r="P27" s="18"/>
      <c r="Q27" s="18"/>
      <c r="R27" s="16" t="s">
        <v>19</v>
      </c>
    </row>
    <row r="28">
      <c r="A28" s="7"/>
      <c r="B28" s="9" t="s">
        <v>136</v>
      </c>
      <c r="C28" s="9"/>
      <c r="D28" s="9" t="s">
        <v>133</v>
      </c>
      <c r="E28" s="9" t="s">
        <v>137</v>
      </c>
      <c r="F28" s="9" t="s">
        <v>138</v>
      </c>
      <c r="G28" s="7"/>
      <c r="H28" s="14"/>
      <c r="I28" s="16" t="str">
        <f>=G28*J28</f>
      </c>
      <c r="J28" s="16" t="str">
        <f>IF(EXACT(K28,"V"),K$5,0)+IF(EXACT(L28,"V"),L$5,0)+IF(EXACT(M28,"V"),M$5,0)+IF(EXACT(N28,"V"),N$5,0)+IF(EXACT(O28,"V"),O$5,0)+IF(EXACT(P28,"V"),P$5,0)+IF(EXACT(Q28,"V"),Q$5,0)</f>
      </c>
      <c r="K28" s="18"/>
      <c r="L28" s="18"/>
      <c r="M28" s="18"/>
      <c r="N28" s="18"/>
      <c r="O28" s="18"/>
      <c r="P28" s="18"/>
      <c r="Q28" s="18"/>
      <c r="R28" s="16" t="s">
        <v>19</v>
      </c>
    </row>
    <row r="29">
      <c r="A29" s="7"/>
      <c r="B29" s="9" t="s">
        <v>139</v>
      </c>
      <c r="C29" s="9"/>
      <c r="D29" s="9" t="s">
        <v>133</v>
      </c>
      <c r="E29" s="9" t="s">
        <v>140</v>
      </c>
      <c r="F29" s="9" t="s">
        <v>141</v>
      </c>
      <c r="G29" s="7"/>
      <c r="H29" s="14"/>
      <c r="I29" s="16" t="str">
        <f>=G29*J29</f>
      </c>
      <c r="J29" s="16" t="str">
        <f>IF(EXACT(K29,"V"),K$5,0)+IF(EXACT(L29,"V"),L$5,0)+IF(EXACT(M29,"V"),M$5,0)+IF(EXACT(N29,"V"),N$5,0)+IF(EXACT(O29,"V"),O$5,0)+IF(EXACT(P29,"V"),P$5,0)+IF(EXACT(Q29,"V"),Q$5,0)</f>
      </c>
      <c r="K29" s="18"/>
      <c r="L29" s="18"/>
      <c r="M29" s="18"/>
      <c r="N29" s="18"/>
      <c r="O29" s="18"/>
      <c r="P29" s="18"/>
      <c r="Q29" s="18"/>
      <c r="R29" s="16" t="s">
        <v>19</v>
      </c>
    </row>
    <row r="30">
      <c r="A30" s="7"/>
      <c r="B30" s="9" t="s">
        <v>142</v>
      </c>
      <c r="C30" s="9"/>
      <c r="D30" s="9" t="s">
        <v>133</v>
      </c>
      <c r="E30" s="9" t="s">
        <v>143</v>
      </c>
      <c r="F30" s="9" t="s">
        <v>144</v>
      </c>
      <c r="G30" s="7"/>
      <c r="H30" s="14"/>
      <c r="I30" s="16" t="str">
        <f>=G30*J30</f>
      </c>
      <c r="J30" s="16" t="str">
        <f>IF(EXACT(K30,"V"),K$5,0)+IF(EXACT(L30,"V"),L$5,0)+IF(EXACT(M30,"V"),M$5,0)+IF(EXACT(N30,"V"),N$5,0)+IF(EXACT(O30,"V"),O$5,0)+IF(EXACT(P30,"V"),P$5,0)+IF(EXACT(Q30,"V"),Q$5,0)</f>
      </c>
      <c r="K30" s="18"/>
      <c r="L30" s="18"/>
      <c r="M30" s="18"/>
      <c r="N30" s="18"/>
      <c r="O30" s="18"/>
      <c r="P30" s="18"/>
      <c r="Q30" s="18"/>
      <c r="R30" s="16" t="s">
        <v>19</v>
      </c>
    </row>
    <row r="31">
      <c r="A31" s="7"/>
      <c r="B31" s="9" t="s">
        <v>145</v>
      </c>
      <c r="C31" s="9"/>
      <c r="D31" s="9" t="s">
        <v>133</v>
      </c>
      <c r="E31" s="9" t="s">
        <v>146</v>
      </c>
      <c r="F31" s="9" t="s">
        <v>147</v>
      </c>
      <c r="G31" s="7"/>
      <c r="H31" s="14"/>
      <c r="I31" s="16" t="str">
        <f>=G31*J31</f>
      </c>
      <c r="J31" s="16" t="str">
        <f>IF(EXACT(K31,"V"),K$5,0)+IF(EXACT(L31,"V"),L$5,0)+IF(EXACT(M31,"V"),M$5,0)+IF(EXACT(N31,"V"),N$5,0)+IF(EXACT(O31,"V"),O$5,0)+IF(EXACT(P31,"V"),P$5,0)+IF(EXACT(Q31,"V"),Q$5,0)</f>
      </c>
      <c r="K31" s="18"/>
      <c r="L31" s="18"/>
      <c r="M31" s="18"/>
      <c r="N31" s="18"/>
      <c r="O31" s="18"/>
      <c r="P31" s="18"/>
      <c r="Q31" s="18"/>
      <c r="R31" s="16" t="s">
        <v>19</v>
      </c>
    </row>
    <row r="32">
      <c r="A32" s="7"/>
      <c r="B32" s="9" t="s">
        <v>148</v>
      </c>
      <c r="C32" s="9"/>
      <c r="D32" s="9" t="s">
        <v>133</v>
      </c>
      <c r="E32" s="9" t="s">
        <v>149</v>
      </c>
      <c r="F32" s="9" t="s">
        <v>150</v>
      </c>
      <c r="G32" s="7"/>
      <c r="H32" s="14"/>
      <c r="I32" s="16" t="str">
        <f>=G32*J32</f>
      </c>
      <c r="J32" s="16" t="str">
        <f>IF(EXACT(K32,"V"),K$5,0)+IF(EXACT(L32,"V"),L$5,0)+IF(EXACT(M32,"V"),M$5,0)+IF(EXACT(N32,"V"),N$5,0)+IF(EXACT(O32,"V"),O$5,0)+IF(EXACT(P32,"V"),P$5,0)+IF(EXACT(Q32,"V"),Q$5,0)</f>
      </c>
      <c r="K32" s="18"/>
      <c r="L32" s="18"/>
      <c r="M32" s="18"/>
      <c r="N32" s="18"/>
      <c r="O32" s="18"/>
      <c r="P32" s="18"/>
      <c r="Q32" s="18"/>
      <c r="R32" s="16" t="s">
        <v>19</v>
      </c>
    </row>
    <row r="33">
      <c r="A33" s="6" t="s">
        <v>151</v>
      </c>
      <c r="B33" s="8" t="s">
        <v>152</v>
      </c>
      <c r="C33" s="8"/>
      <c r="D33" s="8" t="s">
        <v>153</v>
      </c>
      <c r="E33" s="8" t="s">
        <v>154</v>
      </c>
      <c r="F33" s="8" t="s">
        <v>155</v>
      </c>
      <c r="G33" s="6">
        <v>1</v>
      </c>
      <c r="H33" s="13" t="s">
        <v>156</v>
      </c>
      <c r="I33" s="15" t="str">
        <f>=G33*J33</f>
      </c>
      <c r="J33" s="15" t="str">
        <f>IF(EXACT(K33,"V"),K$5,0)+IF(EXACT(L33,"V"),L$5,0)+IF(EXACT(M33,"V"),M$5,0)+IF(EXACT(N33,"V"),N$5,0)+IF(EXACT(O33,"V"),O$5,0)+IF(EXACT(P33,"V"),P$5,0)+IF(EXACT(Q33,"V"),Q$5,0)</f>
      </c>
      <c r="K33" s="17"/>
      <c r="L33" s="17"/>
      <c r="M33" s="17"/>
      <c r="N33" s="17"/>
      <c r="O33" s="17"/>
      <c r="P33" s="17"/>
      <c r="Q33" s="17"/>
      <c r="R33" s="15" t="s">
        <v>19</v>
      </c>
    </row>
    <row r="34">
      <c r="A34" s="6"/>
      <c r="B34" s="8" t="s">
        <v>157</v>
      </c>
      <c r="C34" s="8"/>
      <c r="D34" s="8" t="s">
        <v>158</v>
      </c>
      <c r="E34" s="8" t="s">
        <v>159</v>
      </c>
      <c r="F34" s="8" t="s">
        <v>160</v>
      </c>
      <c r="G34" s="6"/>
      <c r="H34" s="13"/>
      <c r="I34" s="15" t="str">
        <f>=G34*J34</f>
      </c>
      <c r="J34" s="15" t="str">
        <f>IF(EXACT(K34,"V"),K$5,0)+IF(EXACT(L34,"V"),L$5,0)+IF(EXACT(M34,"V"),M$5,0)+IF(EXACT(N34,"V"),N$5,0)+IF(EXACT(O34,"V"),O$5,0)+IF(EXACT(P34,"V"),P$5,0)+IF(EXACT(Q34,"V"),Q$5,0)</f>
      </c>
      <c r="K34" s="17"/>
      <c r="L34" s="17"/>
      <c r="M34" s="17"/>
      <c r="N34" s="17"/>
      <c r="O34" s="17"/>
      <c r="P34" s="17"/>
      <c r="Q34" s="17"/>
      <c r="R34" s="15" t="s">
        <v>161</v>
      </c>
    </row>
    <row r="35">
      <c r="A35" s="6"/>
      <c r="B35" s="8" t="s">
        <v>162</v>
      </c>
      <c r="C35" s="8"/>
      <c r="D35" s="8" t="s">
        <v>163</v>
      </c>
      <c r="E35" s="8" t="s">
        <v>164</v>
      </c>
      <c r="F35" s="8" t="s">
        <v>165</v>
      </c>
      <c r="G35" s="6"/>
      <c r="H35" s="13"/>
      <c r="I35" s="15" t="str">
        <f>=G35*J35</f>
      </c>
      <c r="J35" s="15" t="str">
        <f>IF(EXACT(K35,"V"),K$5,0)+IF(EXACT(L35,"V"),L$5,0)+IF(EXACT(M35,"V"),M$5,0)+IF(EXACT(N35,"V"),N$5,0)+IF(EXACT(O35,"V"),O$5,0)+IF(EXACT(P35,"V"),P$5,0)+IF(EXACT(Q35,"V"),Q$5,0)</f>
      </c>
      <c r="K35" s="17"/>
      <c r="L35" s="17"/>
      <c r="M35" s="17"/>
      <c r="N35" s="17"/>
      <c r="O35" s="17"/>
      <c r="P35" s="17"/>
      <c r="Q35" s="17"/>
      <c r="R35" s="15" t="s">
        <v>19</v>
      </c>
    </row>
    <row r="36">
      <c r="A36" s="6"/>
      <c r="B36" s="8" t="s">
        <v>166</v>
      </c>
      <c r="C36" s="8"/>
      <c r="D36" s="8" t="s">
        <v>167</v>
      </c>
      <c r="E36" s="8" t="s">
        <v>168</v>
      </c>
      <c r="F36" s="8" t="s">
        <v>169</v>
      </c>
      <c r="G36" s="6"/>
      <c r="H36" s="13"/>
      <c r="I36" s="15" t="str">
        <f>=G36*J36</f>
      </c>
      <c r="J36" s="15" t="str">
        <f>IF(EXACT(K36,"V"),K$5,0)+IF(EXACT(L36,"V"),L$5,0)+IF(EXACT(M36,"V"),M$5,0)+IF(EXACT(N36,"V"),N$5,0)+IF(EXACT(O36,"V"),O$5,0)+IF(EXACT(P36,"V"),P$5,0)+IF(EXACT(Q36,"V"),Q$5,0)</f>
      </c>
      <c r="K36" s="17"/>
      <c r="L36" s="17"/>
      <c r="M36" s="17"/>
      <c r="N36" s="17"/>
      <c r="O36" s="17"/>
      <c r="P36" s="17"/>
      <c r="Q36" s="17"/>
      <c r="R36" s="15" t="s">
        <v>19</v>
      </c>
    </row>
    <row r="37">
      <c r="A37" s="7" t="s">
        <v>170</v>
      </c>
      <c r="B37" s="9" t="s">
        <v>171</v>
      </c>
      <c r="C37" s="9"/>
      <c r="D37" s="9" t="s">
        <v>172</v>
      </c>
      <c r="E37" s="9" t="s">
        <v>154</v>
      </c>
      <c r="F37" s="9" t="s">
        <v>173</v>
      </c>
      <c r="G37" s="7">
        <v>1</v>
      </c>
      <c r="H37" s="14" t="s">
        <v>174</v>
      </c>
      <c r="I37" s="16" t="str">
        <f>=G37*J37</f>
      </c>
      <c r="J37" s="16" t="str">
        <f>IF(EXACT(K37,"V"),K$5,0)+IF(EXACT(L37,"V"),L$5,0)+IF(EXACT(M37,"V"),M$5,0)+IF(EXACT(N37,"V"),N$5,0)+IF(EXACT(O37,"V"),O$5,0)+IF(EXACT(P37,"V"),P$5,0)+IF(EXACT(Q37,"V"),Q$5,0)</f>
      </c>
      <c r="K37" s="18"/>
      <c r="L37" s="18"/>
      <c r="M37" s="18"/>
      <c r="N37" s="18"/>
      <c r="O37" s="18"/>
      <c r="P37" s="18"/>
      <c r="Q37" s="18"/>
      <c r="R37" s="16" t="s">
        <v>19</v>
      </c>
    </row>
    <row r="38">
      <c r="A38" s="7"/>
      <c r="B38" s="9" t="s">
        <v>175</v>
      </c>
      <c r="C38" s="9"/>
      <c r="D38" s="9" t="s">
        <v>176</v>
      </c>
      <c r="E38" s="9" t="s">
        <v>159</v>
      </c>
      <c r="F38" s="9" t="s">
        <v>177</v>
      </c>
      <c r="G38" s="7"/>
      <c r="H38" s="14"/>
      <c r="I38" s="16" t="str">
        <f>=G38*J38</f>
      </c>
      <c r="J38" s="16" t="str">
        <f>IF(EXACT(K38,"V"),K$5,0)+IF(EXACT(L38,"V"),L$5,0)+IF(EXACT(M38,"V"),M$5,0)+IF(EXACT(N38,"V"),N$5,0)+IF(EXACT(O38,"V"),O$5,0)+IF(EXACT(P38,"V"),P$5,0)+IF(EXACT(Q38,"V"),Q$5,0)</f>
      </c>
      <c r="K38" s="18"/>
      <c r="L38" s="18"/>
      <c r="M38" s="18"/>
      <c r="N38" s="18"/>
      <c r="O38" s="18"/>
      <c r="P38" s="18"/>
      <c r="Q38" s="18"/>
      <c r="R38" s="16" t="s">
        <v>19</v>
      </c>
    </row>
    <row r="39">
      <c r="A39" s="7"/>
      <c r="B39" s="9" t="s">
        <v>178</v>
      </c>
      <c r="C39" s="9"/>
      <c r="D39" s="9" t="s">
        <v>179</v>
      </c>
      <c r="E39" s="9" t="s">
        <v>180</v>
      </c>
      <c r="F39" s="9" t="s">
        <v>181</v>
      </c>
      <c r="G39" s="7"/>
      <c r="H39" s="14"/>
      <c r="I39" s="16" t="str">
        <f>=G39*J39</f>
      </c>
      <c r="J39" s="16" t="str">
        <f>IF(EXACT(K39,"V"),K$5,0)+IF(EXACT(L39,"V"),L$5,0)+IF(EXACT(M39,"V"),M$5,0)+IF(EXACT(N39,"V"),N$5,0)+IF(EXACT(O39,"V"),O$5,0)+IF(EXACT(P39,"V"),P$5,0)+IF(EXACT(Q39,"V"),Q$5,0)</f>
      </c>
      <c r="K39" s="18"/>
      <c r="L39" s="18"/>
      <c r="M39" s="18"/>
      <c r="N39" s="18"/>
      <c r="O39" s="18"/>
      <c r="P39" s="18"/>
      <c r="Q39" s="18"/>
      <c r="R39" s="16" t="s">
        <v>19</v>
      </c>
    </row>
    <row r="40">
      <c r="A40" s="6" t="s">
        <v>182</v>
      </c>
      <c r="B40" s="8" t="s">
        <v>183</v>
      </c>
      <c r="C40" s="8"/>
      <c r="D40" s="8" t="s">
        <v>184</v>
      </c>
      <c r="E40" s="8" t="s">
        <v>185</v>
      </c>
      <c r="F40" s="8" t="s">
        <v>186</v>
      </c>
      <c r="G40" s="6">
        <v>2</v>
      </c>
      <c r="H40" s="13" t="s">
        <v>187</v>
      </c>
      <c r="I40" s="15" t="str">
        <f>=G40*J40</f>
      </c>
      <c r="J40" s="15" t="str">
        <f>IF(EXACT(K40,"V"),K$5,0)+IF(EXACT(L40,"V"),L$5,0)+IF(EXACT(M40,"V"),M$5,0)+IF(EXACT(N40,"V"),N$5,0)+IF(EXACT(O40,"V"),O$5,0)+IF(EXACT(P40,"V"),P$5,0)+IF(EXACT(Q40,"V"),Q$5,0)</f>
      </c>
      <c r="K40" s="17"/>
      <c r="L40" s="17"/>
      <c r="M40" s="17"/>
      <c r="N40" s="17"/>
      <c r="O40" s="17"/>
      <c r="P40" s="17"/>
      <c r="Q40" s="17"/>
      <c r="R40" s="15" t="s">
        <v>19</v>
      </c>
    </row>
    <row r="41">
      <c r="A41" s="6"/>
      <c r="B41" s="8" t="s">
        <v>188</v>
      </c>
      <c r="C41" s="8"/>
      <c r="D41" s="8" t="s">
        <v>189</v>
      </c>
      <c r="E41" s="8" t="s">
        <v>112</v>
      </c>
      <c r="F41" s="8" t="s">
        <v>190</v>
      </c>
      <c r="G41" s="6"/>
      <c r="H41" s="13"/>
      <c r="I41" s="15" t="str">
        <f>=G41*J41</f>
      </c>
      <c r="J41" s="15" t="str">
        <f>IF(EXACT(K41,"V"),K$5,0)+IF(EXACT(L41,"V"),L$5,0)+IF(EXACT(M41,"V"),M$5,0)+IF(EXACT(N41,"V"),N$5,0)+IF(EXACT(O41,"V"),O$5,0)+IF(EXACT(P41,"V"),P$5,0)+IF(EXACT(Q41,"V"),Q$5,0)</f>
      </c>
      <c r="K41" s="17"/>
      <c r="L41" s="17"/>
      <c r="M41" s="17"/>
      <c r="N41" s="17"/>
      <c r="O41" s="17"/>
      <c r="P41" s="17"/>
      <c r="Q41" s="17"/>
      <c r="R41" s="15" t="s">
        <v>19</v>
      </c>
    </row>
    <row r="42">
      <c r="A42" s="7" t="s">
        <v>191</v>
      </c>
      <c r="B42" s="9" t="s">
        <v>192</v>
      </c>
      <c r="C42" s="9"/>
      <c r="D42" s="9" t="s">
        <v>193</v>
      </c>
      <c r="E42" s="9" t="s">
        <v>126</v>
      </c>
      <c r="F42" s="9" t="s">
        <v>194</v>
      </c>
      <c r="G42" s="7">
        <v>1</v>
      </c>
      <c r="H42" s="14" t="s">
        <v>195</v>
      </c>
      <c r="I42" s="16" t="str">
        <f>=G42*J42</f>
      </c>
      <c r="J42" s="16" t="str">
        <f>IF(EXACT(K42,"V"),K$5,0)+IF(EXACT(L42,"V"),L$5,0)+IF(EXACT(M42,"V"),M$5,0)+IF(EXACT(N42,"V"),N$5,0)+IF(EXACT(O42,"V"),O$5,0)+IF(EXACT(P42,"V"),P$5,0)+IF(EXACT(Q42,"V"),Q$5,0)</f>
      </c>
      <c r="K42" s="18"/>
      <c r="L42" s="18"/>
      <c r="M42" s="18"/>
      <c r="N42" s="18"/>
      <c r="O42" s="18"/>
      <c r="P42" s="18"/>
      <c r="Q42" s="18"/>
      <c r="R42" s="16" t="s">
        <v>19</v>
      </c>
    </row>
    <row r="43">
      <c r="A43" s="7"/>
      <c r="B43" s="9" t="s">
        <v>196</v>
      </c>
      <c r="C43" s="9"/>
      <c r="D43" s="9" t="s">
        <v>193</v>
      </c>
      <c r="E43" s="9" t="s">
        <v>197</v>
      </c>
      <c r="F43" s="9" t="s">
        <v>198</v>
      </c>
      <c r="G43" s="7"/>
      <c r="H43" s="14"/>
      <c r="I43" s="16" t="str">
        <f>=G43*J43</f>
      </c>
      <c r="J43" s="16" t="str">
        <f>IF(EXACT(K43,"V"),K$5,0)+IF(EXACT(L43,"V"),L$5,0)+IF(EXACT(M43,"V"),M$5,0)+IF(EXACT(N43,"V"),N$5,0)+IF(EXACT(O43,"V"),O$5,0)+IF(EXACT(P43,"V"),P$5,0)+IF(EXACT(Q43,"V"),Q$5,0)</f>
      </c>
      <c r="K43" s="18"/>
      <c r="L43" s="18"/>
      <c r="M43" s="18"/>
      <c r="N43" s="18"/>
      <c r="O43" s="18"/>
      <c r="P43" s="18"/>
      <c r="Q43" s="18"/>
      <c r="R43" s="16" t="s">
        <v>19</v>
      </c>
    </row>
    <row r="44">
      <c r="A44" s="7"/>
      <c r="B44" s="9" t="s">
        <v>199</v>
      </c>
      <c r="C44" s="9"/>
      <c r="D44" s="9" t="s">
        <v>200</v>
      </c>
      <c r="E44" s="9" t="s">
        <v>61</v>
      </c>
      <c r="F44" s="9" t="s">
        <v>201</v>
      </c>
      <c r="G44" s="7"/>
      <c r="H44" s="14"/>
      <c r="I44" s="16" t="str">
        <f>=G44*J44</f>
      </c>
      <c r="J44" s="16" t="str">
        <f>IF(EXACT(K44,"V"),K$5,0)+IF(EXACT(L44,"V"),L$5,0)+IF(EXACT(M44,"V"),M$5,0)+IF(EXACT(N44,"V"),N$5,0)+IF(EXACT(O44,"V"),O$5,0)+IF(EXACT(P44,"V"),P$5,0)+IF(EXACT(Q44,"V"),Q$5,0)</f>
      </c>
      <c r="K44" s="18"/>
      <c r="L44" s="18"/>
      <c r="M44" s="18"/>
      <c r="N44" s="18"/>
      <c r="O44" s="18"/>
      <c r="P44" s="18"/>
      <c r="Q44" s="18"/>
      <c r="R44" s="16" t="s">
        <v>19</v>
      </c>
    </row>
    <row r="45">
      <c r="A45" s="7"/>
      <c r="B45" s="9" t="s">
        <v>202</v>
      </c>
      <c r="C45" s="9"/>
      <c r="D45" s="9" t="s">
        <v>193</v>
      </c>
      <c r="E45" s="9" t="s">
        <v>203</v>
      </c>
      <c r="F45" s="9" t="s">
        <v>204</v>
      </c>
      <c r="G45" s="7"/>
      <c r="H45" s="14"/>
      <c r="I45" s="16" t="str">
        <f>=G45*J45</f>
      </c>
      <c r="J45" s="16" t="str">
        <f>IF(EXACT(K45,"V"),K$5,0)+IF(EXACT(L45,"V"),L$5,0)+IF(EXACT(M45,"V"),M$5,0)+IF(EXACT(N45,"V"),N$5,0)+IF(EXACT(O45,"V"),O$5,0)+IF(EXACT(P45,"V"),P$5,0)+IF(EXACT(Q45,"V"),Q$5,0)</f>
      </c>
      <c r="K45" s="18"/>
      <c r="L45" s="18"/>
      <c r="M45" s="18"/>
      <c r="N45" s="18"/>
      <c r="O45" s="18"/>
      <c r="P45" s="18"/>
      <c r="Q45" s="18"/>
      <c r="R45" s="16" t="s">
        <v>19</v>
      </c>
    </row>
    <row r="46">
      <c r="A46" s="7"/>
      <c r="B46" s="9" t="s">
        <v>205</v>
      </c>
      <c r="C46" s="9"/>
      <c r="D46" s="9" t="s">
        <v>193</v>
      </c>
      <c r="E46" s="9" t="s">
        <v>115</v>
      </c>
      <c r="F46" s="9" t="s">
        <v>206</v>
      </c>
      <c r="G46" s="7"/>
      <c r="H46" s="14"/>
      <c r="I46" s="16" t="str">
        <f>=G46*J46</f>
      </c>
      <c r="J46" s="16" t="str">
        <f>IF(EXACT(K46,"V"),K$5,0)+IF(EXACT(L46,"V"),L$5,0)+IF(EXACT(M46,"V"),M$5,0)+IF(EXACT(N46,"V"),N$5,0)+IF(EXACT(O46,"V"),O$5,0)+IF(EXACT(P46,"V"),P$5,0)+IF(EXACT(Q46,"V"),Q$5,0)</f>
      </c>
      <c r="K46" s="18"/>
      <c r="L46" s="18"/>
      <c r="M46" s="18"/>
      <c r="N46" s="18"/>
      <c r="O46" s="18"/>
      <c r="P46" s="18"/>
      <c r="Q46" s="18"/>
      <c r="R46" s="16" t="s">
        <v>19</v>
      </c>
    </row>
    <row r="47">
      <c r="A47" s="6" t="s">
        <v>207</v>
      </c>
      <c r="B47" s="8" t="s">
        <v>208</v>
      </c>
      <c r="C47" s="8"/>
      <c r="D47" s="8" t="s">
        <v>209</v>
      </c>
      <c r="E47" s="8" t="s">
        <v>197</v>
      </c>
      <c r="F47" s="8" t="s">
        <v>210</v>
      </c>
      <c r="G47" s="6">
        <v>2</v>
      </c>
      <c r="H47" s="13" t="s">
        <v>211</v>
      </c>
      <c r="I47" s="15" t="str">
        <f>=G47*J47</f>
      </c>
      <c r="J47" s="15" t="str">
        <f>IF(EXACT(K47,"V"),K$5,0)+IF(EXACT(L47,"V"),L$5,0)+IF(EXACT(M47,"V"),M$5,0)+IF(EXACT(N47,"V"),N$5,0)+IF(EXACT(O47,"V"),O$5,0)+IF(EXACT(P47,"V"),P$5,0)+IF(EXACT(Q47,"V"),Q$5,0)</f>
      </c>
      <c r="K47" s="17"/>
      <c r="L47" s="17"/>
      <c r="M47" s="17"/>
      <c r="N47" s="17"/>
      <c r="O47" s="17"/>
      <c r="P47" s="17"/>
      <c r="Q47" s="17"/>
      <c r="R47" s="15" t="s">
        <v>19</v>
      </c>
    </row>
    <row r="48">
      <c r="A48" s="6"/>
      <c r="B48" s="8" t="s">
        <v>212</v>
      </c>
      <c r="C48" s="8"/>
      <c r="D48" s="8" t="s">
        <v>213</v>
      </c>
      <c r="E48" s="8" t="s">
        <v>61</v>
      </c>
      <c r="F48" s="8" t="s">
        <v>214</v>
      </c>
      <c r="G48" s="6"/>
      <c r="H48" s="13"/>
      <c r="I48" s="15" t="str">
        <f>=G48*J48</f>
      </c>
      <c r="J48" s="15" t="str">
        <f>IF(EXACT(K48,"V"),K$5,0)+IF(EXACT(L48,"V"),L$5,0)+IF(EXACT(M48,"V"),M$5,0)+IF(EXACT(N48,"V"),N$5,0)+IF(EXACT(O48,"V"),O$5,0)+IF(EXACT(P48,"V"),P$5,0)+IF(EXACT(Q48,"V"),Q$5,0)</f>
      </c>
      <c r="K48" s="17"/>
      <c r="L48" s="17"/>
      <c r="M48" s="17"/>
      <c r="N48" s="17"/>
      <c r="O48" s="17"/>
      <c r="P48" s="17"/>
      <c r="Q48" s="17"/>
      <c r="R48" s="15" t="s">
        <v>19</v>
      </c>
    </row>
    <row r="49">
      <c r="A49" s="6"/>
      <c r="B49" s="8" t="s">
        <v>215</v>
      </c>
      <c r="C49" s="8"/>
      <c r="D49" s="8" t="s">
        <v>216</v>
      </c>
      <c r="E49" s="8" t="s">
        <v>120</v>
      </c>
      <c r="F49" s="8" t="s">
        <v>217</v>
      </c>
      <c r="G49" s="6"/>
      <c r="H49" s="13"/>
      <c r="I49" s="15" t="str">
        <f>=G49*J49</f>
      </c>
      <c r="J49" s="15" t="str">
        <f>IF(EXACT(K49,"V"),K$5,0)+IF(EXACT(L49,"V"),L$5,0)+IF(EXACT(M49,"V"),M$5,0)+IF(EXACT(N49,"V"),N$5,0)+IF(EXACT(O49,"V"),O$5,0)+IF(EXACT(P49,"V"),P$5,0)+IF(EXACT(Q49,"V"),Q$5,0)</f>
      </c>
      <c r="K49" s="17"/>
      <c r="L49" s="17"/>
      <c r="M49" s="17"/>
      <c r="N49" s="17"/>
      <c r="O49" s="17"/>
      <c r="P49" s="17"/>
      <c r="Q49" s="17"/>
      <c r="R49" s="15" t="s">
        <v>19</v>
      </c>
    </row>
    <row r="50">
      <c r="A50" s="6"/>
      <c r="B50" s="8" t="s">
        <v>218</v>
      </c>
      <c r="C50" s="8"/>
      <c r="D50" s="8" t="s">
        <v>219</v>
      </c>
      <c r="E50" s="8" t="s">
        <v>69</v>
      </c>
      <c r="F50" s="8" t="s">
        <v>220</v>
      </c>
      <c r="G50" s="6"/>
      <c r="H50" s="13"/>
      <c r="I50" s="15" t="str">
        <f>=G50*J50</f>
      </c>
      <c r="J50" s="15" t="str">
        <f>IF(EXACT(K50,"V"),K$5,0)+IF(EXACT(L50,"V"),L$5,0)+IF(EXACT(M50,"V"),M$5,0)+IF(EXACT(N50,"V"),N$5,0)+IF(EXACT(O50,"V"),O$5,0)+IF(EXACT(P50,"V"),P$5,0)+IF(EXACT(Q50,"V"),Q$5,0)</f>
      </c>
      <c r="K50" s="17"/>
      <c r="L50" s="17"/>
      <c r="M50" s="17"/>
      <c r="N50" s="17"/>
      <c r="O50" s="17"/>
      <c r="P50" s="17"/>
      <c r="Q50" s="17"/>
      <c r="R50" s="15" t="s">
        <v>19</v>
      </c>
    </row>
    <row r="51">
      <c r="A51" s="7" t="s">
        <v>221</v>
      </c>
      <c r="B51" s="9" t="s">
        <v>222</v>
      </c>
      <c r="C51" s="9"/>
      <c r="D51" s="9" t="s">
        <v>223</v>
      </c>
      <c r="E51" s="9" t="s">
        <v>61</v>
      </c>
      <c r="F51" s="9" t="s">
        <v>224</v>
      </c>
      <c r="G51" s="7">
        <v>4</v>
      </c>
      <c r="H51" s="14" t="s">
        <v>225</v>
      </c>
      <c r="I51" s="16" t="str">
        <f>=G51*J51</f>
      </c>
      <c r="J51" s="16" t="str">
        <f>IF(EXACT(K51,"V"),K$5,0)+IF(EXACT(L51,"V"),L$5,0)+IF(EXACT(M51,"V"),M$5,0)+IF(EXACT(N51,"V"),N$5,0)+IF(EXACT(O51,"V"),O$5,0)+IF(EXACT(P51,"V"),P$5,0)+IF(EXACT(Q51,"V"),Q$5,0)</f>
      </c>
      <c r="K51" s="18"/>
      <c r="L51" s="18"/>
      <c r="M51" s="18"/>
      <c r="N51" s="18"/>
      <c r="O51" s="18"/>
      <c r="P51" s="18"/>
      <c r="Q51" s="18"/>
      <c r="R51" s="16" t="s">
        <v>19</v>
      </c>
    </row>
    <row r="52">
      <c r="A52" s="7"/>
      <c r="B52" s="9" t="s">
        <v>226</v>
      </c>
      <c r="C52" s="9"/>
      <c r="D52" s="9" t="s">
        <v>227</v>
      </c>
      <c r="E52" s="9" t="s">
        <v>57</v>
      </c>
      <c r="F52" s="9" t="s">
        <v>228</v>
      </c>
      <c r="G52" s="7"/>
      <c r="H52" s="14"/>
      <c r="I52" s="16" t="str">
        <f>=G52*J52</f>
      </c>
      <c r="J52" s="16" t="str">
        <f>IF(EXACT(K52,"V"),K$5,0)+IF(EXACT(L52,"V"),L$5,0)+IF(EXACT(M52,"V"),M$5,0)+IF(EXACT(N52,"V"),N$5,0)+IF(EXACT(O52,"V"),O$5,0)+IF(EXACT(P52,"V"),P$5,0)+IF(EXACT(Q52,"V"),Q$5,0)</f>
      </c>
      <c r="K52" s="18"/>
      <c r="L52" s="18"/>
      <c r="M52" s="18"/>
      <c r="N52" s="18"/>
      <c r="O52" s="18"/>
      <c r="P52" s="18"/>
      <c r="Q52" s="18"/>
      <c r="R52" s="16" t="s">
        <v>19</v>
      </c>
    </row>
    <row r="53">
      <c r="A53" s="7"/>
      <c r="B53" s="9" t="s">
        <v>229</v>
      </c>
      <c r="C53" s="9"/>
      <c r="D53" s="9" t="s">
        <v>230</v>
      </c>
      <c r="E53" s="9" t="s">
        <v>197</v>
      </c>
      <c r="F53" s="9" t="s">
        <v>231</v>
      </c>
      <c r="G53" s="7"/>
      <c r="H53" s="14"/>
      <c r="I53" s="16" t="str">
        <f>=G53*J53</f>
      </c>
      <c r="J53" s="16" t="str">
        <f>IF(EXACT(K53,"V"),K$5,0)+IF(EXACT(L53,"V"),L$5,0)+IF(EXACT(M53,"V"),M$5,0)+IF(EXACT(N53,"V"),N$5,0)+IF(EXACT(O53,"V"),O$5,0)+IF(EXACT(P53,"V"),P$5,0)+IF(EXACT(Q53,"V"),Q$5,0)</f>
      </c>
      <c r="K53" s="18"/>
      <c r="L53" s="18"/>
      <c r="M53" s="18"/>
      <c r="N53" s="18"/>
      <c r="O53" s="18"/>
      <c r="P53" s="18"/>
      <c r="Q53" s="18"/>
      <c r="R53" s="16" t="s">
        <v>19</v>
      </c>
    </row>
    <row r="54">
      <c r="A54" s="7"/>
      <c r="B54" s="9" t="s">
        <v>232</v>
      </c>
      <c r="C54" s="9"/>
      <c r="D54" s="9" t="s">
        <v>233</v>
      </c>
      <c r="E54" s="9" t="s">
        <v>65</v>
      </c>
      <c r="F54" s="9" t="s">
        <v>234</v>
      </c>
      <c r="G54" s="7"/>
      <c r="H54" s="14"/>
      <c r="I54" s="16" t="str">
        <f>=G54*J54</f>
      </c>
      <c r="J54" s="16" t="str">
        <f>IF(EXACT(K54,"V"),K$5,0)+IF(EXACT(L54,"V"),L$5,0)+IF(EXACT(M54,"V"),M$5,0)+IF(EXACT(N54,"V"),N$5,0)+IF(EXACT(O54,"V"),O$5,0)+IF(EXACT(P54,"V"),P$5,0)+IF(EXACT(Q54,"V"),Q$5,0)</f>
      </c>
      <c r="K54" s="18"/>
      <c r="L54" s="18"/>
      <c r="M54" s="18"/>
      <c r="N54" s="18"/>
      <c r="O54" s="18"/>
      <c r="P54" s="18"/>
      <c r="Q54" s="18"/>
      <c r="R54" s="16" t="s">
        <v>19</v>
      </c>
    </row>
    <row r="55">
      <c r="A55" s="7"/>
      <c r="B55" s="9" t="s">
        <v>235</v>
      </c>
      <c r="C55" s="9"/>
      <c r="D55" s="9" t="s">
        <v>236</v>
      </c>
      <c r="E55" s="9" t="s">
        <v>69</v>
      </c>
      <c r="F55" s="9" t="s">
        <v>237</v>
      </c>
      <c r="G55" s="7"/>
      <c r="H55" s="14"/>
      <c r="I55" s="16" t="str">
        <f>=G55*J55</f>
      </c>
      <c r="J55" s="16" t="str">
        <f>IF(EXACT(K55,"V"),K$5,0)+IF(EXACT(L55,"V"),L$5,0)+IF(EXACT(M55,"V"),M$5,0)+IF(EXACT(N55,"V"),N$5,0)+IF(EXACT(O55,"V"),O$5,0)+IF(EXACT(P55,"V"),P$5,0)+IF(EXACT(Q55,"V"),Q$5,0)</f>
      </c>
      <c r="K55" s="18"/>
      <c r="L55" s="18"/>
      <c r="M55" s="18"/>
      <c r="N55" s="18"/>
      <c r="O55" s="18"/>
      <c r="P55" s="18"/>
      <c r="Q55" s="18"/>
      <c r="R55" s="16" t="s">
        <v>19</v>
      </c>
    </row>
    <row r="56">
      <c r="A56" s="7"/>
      <c r="B56" s="9" t="s">
        <v>238</v>
      </c>
      <c r="C56" s="9"/>
      <c r="D56" s="9" t="s">
        <v>239</v>
      </c>
      <c r="E56" s="9" t="s">
        <v>73</v>
      </c>
      <c r="F56" s="9" t="s">
        <v>240</v>
      </c>
      <c r="G56" s="7"/>
      <c r="H56" s="14"/>
      <c r="I56" s="16" t="str">
        <f>=G56*J56</f>
      </c>
      <c r="J56" s="16" t="str">
        <f>IF(EXACT(K56,"V"),K$5,0)+IF(EXACT(L56,"V"),L$5,0)+IF(EXACT(M56,"V"),M$5,0)+IF(EXACT(N56,"V"),N$5,0)+IF(EXACT(O56,"V"),O$5,0)+IF(EXACT(P56,"V"),P$5,0)+IF(EXACT(Q56,"V"),Q$5,0)</f>
      </c>
      <c r="K56" s="18"/>
      <c r="L56" s="18"/>
      <c r="M56" s="18"/>
      <c r="N56" s="18"/>
      <c r="O56" s="18"/>
      <c r="P56" s="18"/>
      <c r="Q56" s="18"/>
      <c r="R56" s="16" t="s">
        <v>19</v>
      </c>
    </row>
    <row r="57">
      <c r="A57" s="6" t="s">
        <v>241</v>
      </c>
      <c r="B57" s="8" t="s">
        <v>242</v>
      </c>
      <c r="C57" s="8"/>
      <c r="D57" s="8" t="s">
        <v>243</v>
      </c>
      <c r="E57" s="8" t="s">
        <v>23</v>
      </c>
      <c r="F57" s="8" t="s">
        <v>244</v>
      </c>
      <c r="G57" s="6">
        <v>2</v>
      </c>
      <c r="H57" s="13" t="s">
        <v>245</v>
      </c>
      <c r="I57" s="15" t="str">
        <f>=G57*J57</f>
      </c>
      <c r="J57" s="15" t="str">
        <f>IF(EXACT(K57,"V"),K$5,0)+IF(EXACT(L57,"V"),L$5,0)+IF(EXACT(M57,"V"),M$5,0)+IF(EXACT(N57,"V"),N$5,0)+IF(EXACT(O57,"V"),O$5,0)+IF(EXACT(P57,"V"),P$5,0)+IF(EXACT(Q57,"V"),Q$5,0)</f>
      </c>
      <c r="K57" s="17"/>
      <c r="L57" s="17"/>
      <c r="M57" s="17"/>
      <c r="N57" s="17"/>
      <c r="O57" s="17"/>
      <c r="P57" s="17"/>
      <c r="Q57" s="17"/>
      <c r="R57" s="15" t="s">
        <v>19</v>
      </c>
    </row>
    <row r="58">
      <c r="A58" s="6"/>
      <c r="B58" s="8" t="s">
        <v>246</v>
      </c>
      <c r="C58" s="8"/>
      <c r="D58" s="8" t="s">
        <v>247</v>
      </c>
      <c r="E58" s="8" t="s">
        <v>57</v>
      </c>
      <c r="F58" s="8" t="s">
        <v>248</v>
      </c>
      <c r="G58" s="6"/>
      <c r="H58" s="13"/>
      <c r="I58" s="15" t="str">
        <f>=G58*J58</f>
      </c>
      <c r="J58" s="15" t="str">
        <f>IF(EXACT(K58,"V"),K$5,0)+IF(EXACT(L58,"V"),L$5,0)+IF(EXACT(M58,"V"),M$5,0)+IF(EXACT(N58,"V"),N$5,0)+IF(EXACT(O58,"V"),O$5,0)+IF(EXACT(P58,"V"),P$5,0)+IF(EXACT(Q58,"V"),Q$5,0)</f>
      </c>
      <c r="K58" s="17"/>
      <c r="L58" s="17"/>
      <c r="M58" s="17"/>
      <c r="N58" s="17"/>
      <c r="O58" s="17"/>
      <c r="P58" s="17"/>
      <c r="Q58" s="17"/>
      <c r="R58" s="15" t="s">
        <v>19</v>
      </c>
    </row>
    <row r="59">
      <c r="A59" s="6"/>
      <c r="B59" s="8" t="s">
        <v>249</v>
      </c>
      <c r="C59" s="8"/>
      <c r="D59" s="8" t="s">
        <v>250</v>
      </c>
      <c r="E59" s="8" t="s">
        <v>197</v>
      </c>
      <c r="F59" s="8" t="s">
        <v>251</v>
      </c>
      <c r="G59" s="6"/>
      <c r="H59" s="13"/>
      <c r="I59" s="15" t="str">
        <f>=G59*J59</f>
      </c>
      <c r="J59" s="15" t="str">
        <f>IF(EXACT(K59,"V"),K$5,0)+IF(EXACT(L59,"V"),L$5,0)+IF(EXACT(M59,"V"),M$5,0)+IF(EXACT(N59,"V"),N$5,0)+IF(EXACT(O59,"V"),O$5,0)+IF(EXACT(P59,"V"),P$5,0)+IF(EXACT(Q59,"V"),Q$5,0)</f>
      </c>
      <c r="K59" s="17"/>
      <c r="L59" s="17"/>
      <c r="M59" s="17"/>
      <c r="N59" s="17"/>
      <c r="O59" s="17"/>
      <c r="P59" s="17"/>
      <c r="Q59" s="17"/>
      <c r="R59" s="15" t="s">
        <v>19</v>
      </c>
    </row>
    <row r="60">
      <c r="A60" s="6"/>
      <c r="B60" s="8" t="s">
        <v>252</v>
      </c>
      <c r="C60" s="8"/>
      <c r="D60" s="8" t="s">
        <v>253</v>
      </c>
      <c r="E60" s="8" t="s">
        <v>69</v>
      </c>
      <c r="F60" s="8" t="s">
        <v>254</v>
      </c>
      <c r="G60" s="6"/>
      <c r="H60" s="13"/>
      <c r="I60" s="15" t="str">
        <f>=G60*J60</f>
      </c>
      <c r="J60" s="15" t="str">
        <f>IF(EXACT(K60,"V"),K$5,0)+IF(EXACT(L60,"V"),L$5,0)+IF(EXACT(M60,"V"),M$5,0)+IF(EXACT(N60,"V"),N$5,0)+IF(EXACT(O60,"V"),O$5,0)+IF(EXACT(P60,"V"),P$5,0)+IF(EXACT(Q60,"V"),Q$5,0)</f>
      </c>
      <c r="K60" s="17"/>
      <c r="L60" s="17"/>
      <c r="M60" s="17"/>
      <c r="N60" s="17"/>
      <c r="O60" s="17"/>
      <c r="P60" s="17"/>
      <c r="Q60" s="17"/>
      <c r="R60" s="15" t="s">
        <v>19</v>
      </c>
    </row>
    <row r="61">
      <c r="A61" s="6"/>
      <c r="B61" s="8" t="s">
        <v>255</v>
      </c>
      <c r="C61" s="8"/>
      <c r="D61" s="8" t="s">
        <v>256</v>
      </c>
      <c r="E61" s="8" t="s">
        <v>73</v>
      </c>
      <c r="F61" s="8" t="s">
        <v>257</v>
      </c>
      <c r="G61" s="6"/>
      <c r="H61" s="13"/>
      <c r="I61" s="15" t="str">
        <f>=G61*J61</f>
      </c>
      <c r="J61" s="15" t="str">
        <f>IF(EXACT(K61,"V"),K$5,0)+IF(EXACT(L61,"V"),L$5,0)+IF(EXACT(M61,"V"),M$5,0)+IF(EXACT(N61,"V"),N$5,0)+IF(EXACT(O61,"V"),O$5,0)+IF(EXACT(P61,"V"),P$5,0)+IF(EXACT(Q61,"V"),Q$5,0)</f>
      </c>
      <c r="K61" s="17"/>
      <c r="L61" s="17"/>
      <c r="M61" s="17"/>
      <c r="N61" s="17"/>
      <c r="O61" s="17"/>
      <c r="P61" s="17"/>
      <c r="Q61" s="17"/>
      <c r="R61" s="15" t="s">
        <v>19</v>
      </c>
    </row>
    <row r="62">
      <c r="A62" s="7" t="s">
        <v>258</v>
      </c>
      <c r="B62" s="9" t="s">
        <v>259</v>
      </c>
      <c r="C62" s="9"/>
      <c r="D62" s="9" t="s">
        <v>260</v>
      </c>
      <c r="E62" s="9" t="s">
        <v>261</v>
      </c>
      <c r="F62" s="9" t="s">
        <v>262</v>
      </c>
      <c r="G62" s="7">
        <v>1</v>
      </c>
      <c r="H62" s="14" t="s">
        <v>263</v>
      </c>
      <c r="I62" s="16" t="str">
        <f>=G62*J62</f>
      </c>
      <c r="J62" s="16" t="str">
        <f>IF(EXACT(K62,"V"),K$5,0)+IF(EXACT(L62,"V"),L$5,0)+IF(EXACT(M62,"V"),M$5,0)+IF(EXACT(N62,"V"),N$5,0)+IF(EXACT(O62,"V"),O$5,0)+IF(EXACT(P62,"V"),P$5,0)+IF(EXACT(Q62,"V"),Q$5,0)</f>
      </c>
      <c r="K62" s="18"/>
      <c r="L62" s="18"/>
      <c r="M62" s="18"/>
      <c r="N62" s="18"/>
      <c r="O62" s="18"/>
      <c r="P62" s="18"/>
      <c r="Q62" s="18"/>
      <c r="R62" s="16" t="s">
        <v>19</v>
      </c>
    </row>
    <row r="63">
      <c r="A63" s="7"/>
      <c r="B63" s="9" t="s">
        <v>264</v>
      </c>
      <c r="C63" s="9"/>
      <c r="D63" s="9" t="s">
        <v>265</v>
      </c>
      <c r="E63" s="9" t="s">
        <v>57</v>
      </c>
      <c r="F63" s="9" t="s">
        <v>266</v>
      </c>
      <c r="G63" s="7"/>
      <c r="H63" s="14"/>
      <c r="I63" s="16" t="str">
        <f>=G63*J63</f>
      </c>
      <c r="J63" s="16" t="str">
        <f>IF(EXACT(K63,"V"),K$5,0)+IF(EXACT(L63,"V"),L$5,0)+IF(EXACT(M63,"V"),M$5,0)+IF(EXACT(N63,"V"),N$5,0)+IF(EXACT(O63,"V"),O$5,0)+IF(EXACT(P63,"V"),P$5,0)+IF(EXACT(Q63,"V"),Q$5,0)</f>
      </c>
      <c r="K63" s="18"/>
      <c r="L63" s="18"/>
      <c r="M63" s="18"/>
      <c r="N63" s="18"/>
      <c r="O63" s="18"/>
      <c r="P63" s="18"/>
      <c r="Q63" s="18"/>
      <c r="R63" s="16" t="s">
        <v>19</v>
      </c>
    </row>
    <row r="64">
      <c r="A64" s="7"/>
      <c r="B64" s="9" t="s">
        <v>267</v>
      </c>
      <c r="C64" s="9"/>
      <c r="D64" s="9" t="s">
        <v>268</v>
      </c>
      <c r="E64" s="9" t="s">
        <v>197</v>
      </c>
      <c r="F64" s="9" t="s">
        <v>269</v>
      </c>
      <c r="G64" s="7"/>
      <c r="H64" s="14"/>
      <c r="I64" s="16" t="str">
        <f>=G64*J64</f>
      </c>
      <c r="J64" s="16" t="str">
        <f>IF(EXACT(K64,"V"),K$5,0)+IF(EXACT(L64,"V"),L$5,0)+IF(EXACT(M64,"V"),M$5,0)+IF(EXACT(N64,"V"),N$5,0)+IF(EXACT(O64,"V"),O$5,0)+IF(EXACT(P64,"V"),P$5,0)+IF(EXACT(Q64,"V"),Q$5,0)</f>
      </c>
      <c r="K64" s="18"/>
      <c r="L64" s="18"/>
      <c r="M64" s="18"/>
      <c r="N64" s="18"/>
      <c r="O64" s="18"/>
      <c r="P64" s="18"/>
      <c r="Q64" s="18"/>
      <c r="R64" s="16" t="s">
        <v>19</v>
      </c>
    </row>
    <row r="65">
      <c r="A65" s="7"/>
      <c r="B65" s="9" t="s">
        <v>270</v>
      </c>
      <c r="C65" s="9"/>
      <c r="D65" s="9" t="s">
        <v>271</v>
      </c>
      <c r="E65" s="9" t="s">
        <v>61</v>
      </c>
      <c r="F65" s="9" t="s">
        <v>272</v>
      </c>
      <c r="G65" s="7"/>
      <c r="H65" s="14"/>
      <c r="I65" s="16" t="str">
        <f>=G65*J65</f>
      </c>
      <c r="J65" s="16" t="str">
        <f>IF(EXACT(K65,"V"),K$5,0)+IF(EXACT(L65,"V"),L$5,0)+IF(EXACT(M65,"V"),M$5,0)+IF(EXACT(N65,"V"),N$5,0)+IF(EXACT(O65,"V"),O$5,0)+IF(EXACT(P65,"V"),P$5,0)+IF(EXACT(Q65,"V"),Q$5,0)</f>
      </c>
      <c r="K65" s="18"/>
      <c r="L65" s="18"/>
      <c r="M65" s="18"/>
      <c r="N65" s="18"/>
      <c r="O65" s="18"/>
      <c r="P65" s="18"/>
      <c r="Q65" s="18"/>
      <c r="R65" s="16" t="s">
        <v>19</v>
      </c>
    </row>
    <row r="66">
      <c r="A66" s="7"/>
      <c r="B66" s="9" t="s">
        <v>273</v>
      </c>
      <c r="C66" s="9"/>
      <c r="D66" s="9" t="s">
        <v>274</v>
      </c>
      <c r="E66" s="9" t="s">
        <v>65</v>
      </c>
      <c r="F66" s="9" t="s">
        <v>275</v>
      </c>
      <c r="G66" s="7"/>
      <c r="H66" s="14"/>
      <c r="I66" s="16" t="str">
        <f>=G66*J66</f>
      </c>
      <c r="J66" s="16" t="str">
        <f>IF(EXACT(K66,"V"),K$5,0)+IF(EXACT(L66,"V"),L$5,0)+IF(EXACT(M66,"V"),M$5,0)+IF(EXACT(N66,"V"),N$5,0)+IF(EXACT(O66,"V"),O$5,0)+IF(EXACT(P66,"V"),P$5,0)+IF(EXACT(Q66,"V"),Q$5,0)</f>
      </c>
      <c r="K66" s="18"/>
      <c r="L66" s="18"/>
      <c r="M66" s="18"/>
      <c r="N66" s="18"/>
      <c r="O66" s="18"/>
      <c r="P66" s="18"/>
      <c r="Q66" s="18"/>
      <c r="R66" s="16" t="s">
        <v>19</v>
      </c>
    </row>
    <row r="67">
      <c r="A67" s="7"/>
      <c r="B67" s="9" t="s">
        <v>276</v>
      </c>
      <c r="C67" s="9"/>
      <c r="D67" s="9" t="s">
        <v>277</v>
      </c>
      <c r="E67" s="9" t="s">
        <v>69</v>
      </c>
      <c r="F67" s="9" t="s">
        <v>278</v>
      </c>
      <c r="G67" s="7"/>
      <c r="H67" s="14"/>
      <c r="I67" s="16" t="str">
        <f>=G67*J67</f>
      </c>
      <c r="J67" s="16" t="str">
        <f>IF(EXACT(K67,"V"),K$5,0)+IF(EXACT(L67,"V"),L$5,0)+IF(EXACT(M67,"V"),M$5,0)+IF(EXACT(N67,"V"),N$5,0)+IF(EXACT(O67,"V"),O$5,0)+IF(EXACT(P67,"V"),P$5,0)+IF(EXACT(Q67,"V"),Q$5,0)</f>
      </c>
      <c r="K67" s="18"/>
      <c r="L67" s="18"/>
      <c r="M67" s="18"/>
      <c r="N67" s="18"/>
      <c r="O67" s="18"/>
      <c r="P67" s="18"/>
      <c r="Q67" s="18"/>
      <c r="R67" s="16" t="s">
        <v>19</v>
      </c>
    </row>
    <row r="68">
      <c r="A68" s="7"/>
      <c r="B68" s="9" t="s">
        <v>279</v>
      </c>
      <c r="C68" s="9"/>
      <c r="D68" s="9" t="s">
        <v>280</v>
      </c>
      <c r="E68" s="9" t="s">
        <v>73</v>
      </c>
      <c r="F68" s="9" t="s">
        <v>281</v>
      </c>
      <c r="G68" s="7"/>
      <c r="H68" s="14"/>
      <c r="I68" s="16" t="str">
        <f>=G68*J68</f>
      </c>
      <c r="J68" s="16" t="str">
        <f>IF(EXACT(K68,"V"),K$5,0)+IF(EXACT(L68,"V"),L$5,0)+IF(EXACT(M68,"V"),M$5,0)+IF(EXACT(N68,"V"),N$5,0)+IF(EXACT(O68,"V"),O$5,0)+IF(EXACT(P68,"V"),P$5,0)+IF(EXACT(Q68,"V"),Q$5,0)</f>
      </c>
      <c r="K68" s="18"/>
      <c r="L68" s="18"/>
      <c r="M68" s="18"/>
      <c r="N68" s="18"/>
      <c r="O68" s="18"/>
      <c r="P68" s="18"/>
      <c r="Q68" s="18"/>
      <c r="R68" s="16" t="s">
        <v>19</v>
      </c>
    </row>
    <row r="69">
      <c r="A69" s="6" t="s">
        <v>282</v>
      </c>
      <c r="B69" s="8" t="s">
        <v>283</v>
      </c>
      <c r="C69" s="8"/>
      <c r="D69" s="8" t="s">
        <v>284</v>
      </c>
      <c r="E69" s="8" t="s">
        <v>285</v>
      </c>
      <c r="F69" s="8" t="s">
        <v>286</v>
      </c>
      <c r="G69" s="6">
        <v>2</v>
      </c>
      <c r="H69" s="13" t="s">
        <v>287</v>
      </c>
      <c r="I69" s="15" t="str">
        <f>=G69*J69</f>
      </c>
      <c r="J69" s="15" t="str">
        <f>IF(EXACT(K69,"V"),K$5,0)+IF(EXACT(L69,"V"),L$5,0)+IF(EXACT(M69,"V"),M$5,0)+IF(EXACT(N69,"V"),N$5,0)+IF(EXACT(O69,"V"),O$5,0)+IF(EXACT(P69,"V"),P$5,0)+IF(EXACT(Q69,"V"),Q$5,0)</f>
      </c>
      <c r="K69" s="17"/>
      <c r="L69" s="17"/>
      <c r="M69" s="17"/>
      <c r="N69" s="17"/>
      <c r="O69" s="17"/>
      <c r="P69" s="17"/>
      <c r="Q69" s="17"/>
      <c r="R69" s="15" t="s">
        <v>288</v>
      </c>
    </row>
    <row r="70">
      <c r="A70" s="7" t="s">
        <v>289</v>
      </c>
      <c r="B70" s="9" t="s">
        <v>290</v>
      </c>
      <c r="C70" s="9"/>
      <c r="D70" s="9" t="s">
        <v>291</v>
      </c>
      <c r="E70" s="9" t="s">
        <v>292</v>
      </c>
      <c r="F70" s="9" t="s">
        <v>293</v>
      </c>
      <c r="G70" s="7">
        <v>1</v>
      </c>
      <c r="H70" s="14" t="s">
        <v>294</v>
      </c>
      <c r="I70" s="16" t="str">
        <f>=G70*J70</f>
      </c>
      <c r="J70" s="16" t="str">
        <f>IF(EXACT(K70,"V"),K$5,0)+IF(EXACT(L70,"V"),L$5,0)+IF(EXACT(M70,"V"),M$5,0)+IF(EXACT(N70,"V"),N$5,0)+IF(EXACT(O70,"V"),O$5,0)+IF(EXACT(P70,"V"),P$5,0)+IF(EXACT(Q70,"V"),Q$5,0)</f>
      </c>
      <c r="K70" s="18"/>
      <c r="L70" s="18"/>
      <c r="M70" s="18"/>
      <c r="N70" s="18"/>
      <c r="O70" s="18"/>
      <c r="P70" s="18"/>
      <c r="Q70" s="18"/>
      <c r="R70" s="16" t="s">
        <v>295</v>
      </c>
    </row>
    <row r="71">
      <c r="A71" s="6" t="s">
        <v>296</v>
      </c>
      <c r="B71" s="8" t="s">
        <v>297</v>
      </c>
      <c r="C71" s="8"/>
      <c r="D71" s="8" t="s">
        <v>298</v>
      </c>
      <c r="E71" s="8" t="s">
        <v>292</v>
      </c>
      <c r="F71" s="8" t="s">
        <v>299</v>
      </c>
      <c r="G71" s="6">
        <v>1</v>
      </c>
      <c r="H71" s="13" t="s">
        <v>300</v>
      </c>
      <c r="I71" s="15" t="str">
        <f>=G71*J71</f>
      </c>
      <c r="J71" s="15" t="str">
        <f>IF(EXACT(K71,"V"),K$5,0)+IF(EXACT(L71,"V"),L$5,0)+IF(EXACT(M71,"V"),M$5,0)+IF(EXACT(N71,"V"),N$5,0)+IF(EXACT(O71,"V"),O$5,0)+IF(EXACT(P71,"V"),P$5,0)+IF(EXACT(Q71,"V"),Q$5,0)</f>
      </c>
      <c r="K71" s="17"/>
      <c r="L71" s="17"/>
      <c r="M71" s="17"/>
      <c r="N71" s="17"/>
      <c r="O71" s="17"/>
      <c r="P71" s="17"/>
      <c r="Q71" s="17"/>
      <c r="R71" s="15" t="s">
        <v>301</v>
      </c>
    </row>
    <row r="72">
      <c r="A72" s="7" t="s">
        <v>302</v>
      </c>
      <c r="B72" s="9" t="s">
        <v>303</v>
      </c>
      <c r="C72" s="9"/>
      <c r="D72" s="9" t="s">
        <v>304</v>
      </c>
      <c r="E72" s="9" t="s">
        <v>292</v>
      </c>
      <c r="F72" s="9" t="s">
        <v>305</v>
      </c>
      <c r="G72" s="7">
        <v>2</v>
      </c>
      <c r="H72" s="14" t="s">
        <v>306</v>
      </c>
      <c r="I72" s="16" t="str">
        <f>=G72*J72</f>
      </c>
      <c r="J72" s="16" t="str">
        <f>IF(EXACT(K72,"V"),K$5,0)+IF(EXACT(L72,"V"),L$5,0)+IF(EXACT(M72,"V"),M$5,0)+IF(EXACT(N72,"V"),N$5,0)+IF(EXACT(O72,"V"),O$5,0)+IF(EXACT(P72,"V"),P$5,0)+IF(EXACT(Q72,"V"),Q$5,0)</f>
      </c>
      <c r="K72" s="18"/>
      <c r="L72" s="18"/>
      <c r="M72" s="18"/>
      <c r="N72" s="18"/>
      <c r="O72" s="18"/>
      <c r="P72" s="18"/>
      <c r="Q72" s="18"/>
      <c r="R72" s="16" t="s">
        <v>295</v>
      </c>
    </row>
    <row r="73">
      <c r="A73" s="6" t="s">
        <v>307</v>
      </c>
      <c r="B73" s="8" t="s">
        <v>308</v>
      </c>
      <c r="C73" s="8"/>
      <c r="D73" s="8" t="s">
        <v>309</v>
      </c>
      <c r="E73" s="8" t="s">
        <v>61</v>
      </c>
      <c r="F73" s="8" t="s">
        <v>310</v>
      </c>
      <c r="G73" s="6">
        <v>9</v>
      </c>
      <c r="H73" s="13" t="s">
        <v>311</v>
      </c>
      <c r="I73" s="15" t="str">
        <f>=G73*J73</f>
      </c>
      <c r="J73" s="15" t="str">
        <f>IF(EXACT(K73,"V"),K$5,0)+IF(EXACT(L73,"V"),L$5,0)+IF(EXACT(M73,"V"),M$5,0)+IF(EXACT(N73,"V"),N$5,0)+IF(EXACT(O73,"V"),O$5,0)+IF(EXACT(P73,"V"),P$5,0)+IF(EXACT(Q73,"V"),Q$5,0)</f>
      </c>
      <c r="K73" s="17"/>
      <c r="L73" s="17"/>
      <c r="M73" s="17"/>
      <c r="N73" s="17"/>
      <c r="O73" s="17"/>
      <c r="P73" s="17"/>
      <c r="Q73" s="17"/>
      <c r="R73" s="15" t="s">
        <v>19</v>
      </c>
    </row>
    <row r="74">
      <c r="A74" s="6"/>
      <c r="B74" s="8" t="s">
        <v>312</v>
      </c>
      <c r="C74" s="8"/>
      <c r="D74" s="8" t="s">
        <v>313</v>
      </c>
      <c r="E74" s="8" t="s">
        <v>197</v>
      </c>
      <c r="F74" s="8" t="s">
        <v>314</v>
      </c>
      <c r="G74" s="6"/>
      <c r="H74" s="13"/>
      <c r="I74" s="15" t="str">
        <f>=G74*J74</f>
      </c>
      <c r="J74" s="15" t="str">
        <f>IF(EXACT(K74,"V"),K$5,0)+IF(EXACT(L74,"V"),L$5,0)+IF(EXACT(M74,"V"),M$5,0)+IF(EXACT(N74,"V"),N$5,0)+IF(EXACT(O74,"V"),O$5,0)+IF(EXACT(P74,"V"),P$5,0)+IF(EXACT(Q74,"V"),Q$5,0)</f>
      </c>
      <c r="K74" s="17"/>
      <c r="L74" s="17"/>
      <c r="M74" s="17"/>
      <c r="N74" s="17"/>
      <c r="O74" s="17"/>
      <c r="P74" s="17"/>
      <c r="Q74" s="17"/>
      <c r="R74" s="15" t="s">
        <v>19</v>
      </c>
    </row>
    <row r="75">
      <c r="A75" s="6"/>
      <c r="B75" s="8" t="s">
        <v>315</v>
      </c>
      <c r="C75" s="8"/>
      <c r="D75" s="8" t="s">
        <v>316</v>
      </c>
      <c r="E75" s="8" t="s">
        <v>317</v>
      </c>
      <c r="F75" s="8" t="s">
        <v>318</v>
      </c>
      <c r="G75" s="6"/>
      <c r="H75" s="13"/>
      <c r="I75" s="15" t="str">
        <f>=G75*J75</f>
      </c>
      <c r="J75" s="15" t="str">
        <f>IF(EXACT(K75,"V"),K$5,0)+IF(EXACT(L75,"V"),L$5,0)+IF(EXACT(M75,"V"),M$5,0)+IF(EXACT(N75,"V"),N$5,0)+IF(EXACT(O75,"V"),O$5,0)+IF(EXACT(P75,"V"),P$5,0)+IF(EXACT(Q75,"V"),Q$5,0)</f>
      </c>
      <c r="K75" s="17"/>
      <c r="L75" s="17"/>
      <c r="M75" s="17"/>
      <c r="N75" s="17"/>
      <c r="O75" s="17"/>
      <c r="P75" s="17"/>
      <c r="Q75" s="17"/>
      <c r="R75" s="15" t="s">
        <v>19</v>
      </c>
    </row>
    <row r="76">
      <c r="A76" s="6"/>
      <c r="B76" s="8" t="s">
        <v>319</v>
      </c>
      <c r="C76" s="8"/>
      <c r="D76" s="8" t="s">
        <v>320</v>
      </c>
      <c r="E76" s="8" t="s">
        <v>112</v>
      </c>
      <c r="F76" s="8" t="s">
        <v>321</v>
      </c>
      <c r="G76" s="6"/>
      <c r="H76" s="13"/>
      <c r="I76" s="15" t="str">
        <f>=G76*J76</f>
      </c>
      <c r="J76" s="15" t="str">
        <f>IF(EXACT(K76,"V"),K$5,0)+IF(EXACT(L76,"V"),L$5,0)+IF(EXACT(M76,"V"),M$5,0)+IF(EXACT(N76,"V"),N$5,0)+IF(EXACT(O76,"V"),O$5,0)+IF(EXACT(P76,"V"),P$5,0)+IF(EXACT(Q76,"V"),Q$5,0)</f>
      </c>
      <c r="K76" s="17"/>
      <c r="L76" s="17"/>
      <c r="M76" s="17"/>
      <c r="N76" s="17"/>
      <c r="O76" s="17"/>
      <c r="P76" s="17"/>
      <c r="Q76" s="17"/>
      <c r="R76" s="15" t="s">
        <v>19</v>
      </c>
    </row>
    <row r="77">
      <c r="A77" s="6"/>
      <c r="B77" s="8" t="s">
        <v>322</v>
      </c>
      <c r="C77" s="8"/>
      <c r="D77" s="8" t="s">
        <v>323</v>
      </c>
      <c r="E77" s="8" t="s">
        <v>115</v>
      </c>
      <c r="F77" s="8" t="s">
        <v>324</v>
      </c>
      <c r="G77" s="6"/>
      <c r="H77" s="13"/>
      <c r="I77" s="15" t="str">
        <f>=G77*J77</f>
      </c>
      <c r="J77" s="15" t="str">
        <f>IF(EXACT(K77,"V"),K$5,0)+IF(EXACT(L77,"V"),L$5,0)+IF(EXACT(M77,"V"),M$5,0)+IF(EXACT(N77,"V"),N$5,0)+IF(EXACT(O77,"V"),O$5,0)+IF(EXACT(P77,"V"),P$5,0)+IF(EXACT(Q77,"V"),Q$5,0)</f>
      </c>
      <c r="K77" s="17"/>
      <c r="L77" s="17"/>
      <c r="M77" s="17"/>
      <c r="N77" s="17"/>
      <c r="O77" s="17"/>
      <c r="P77" s="17"/>
      <c r="Q77" s="17"/>
      <c r="R77" s="15" t="s">
        <v>19</v>
      </c>
    </row>
    <row r="78">
      <c r="A78" s="7" t="s">
        <v>325</v>
      </c>
      <c r="B78" s="9" t="s">
        <v>326</v>
      </c>
      <c r="C78" s="9"/>
      <c r="D78" s="9" t="s">
        <v>327</v>
      </c>
      <c r="E78" s="9" t="s">
        <v>154</v>
      </c>
      <c r="F78" s="9" t="s">
        <v>328</v>
      </c>
      <c r="G78" s="7">
        <v>1</v>
      </c>
      <c r="H78" s="14" t="s">
        <v>329</v>
      </c>
      <c r="I78" s="16" t="str">
        <f>=G78*J78</f>
      </c>
      <c r="J78" s="16" t="str">
        <f>IF(EXACT(K78,"V"),K$5,0)+IF(EXACT(L78,"V"),L$5,0)+IF(EXACT(M78,"V"),M$5,0)+IF(EXACT(N78,"V"),N$5,0)+IF(EXACT(O78,"V"),O$5,0)+IF(EXACT(P78,"V"),P$5,0)+IF(EXACT(Q78,"V"),Q$5,0)</f>
      </c>
      <c r="K78" s="18"/>
      <c r="L78" s="18"/>
      <c r="M78" s="18"/>
      <c r="N78" s="18"/>
      <c r="O78" s="18"/>
      <c r="P78" s="18"/>
      <c r="Q78" s="18"/>
      <c r="R78" s="16" t="s">
        <v>19</v>
      </c>
    </row>
    <row r="79">
      <c r="A79" s="7"/>
      <c r="B79" s="9" t="s">
        <v>330</v>
      </c>
      <c r="C79" s="9"/>
      <c r="D79" s="9" t="s">
        <v>331</v>
      </c>
      <c r="E79" s="9" t="s">
        <v>159</v>
      </c>
      <c r="F79" s="9" t="s">
        <v>332</v>
      </c>
      <c r="G79" s="7"/>
      <c r="H79" s="14"/>
      <c r="I79" s="16" t="str">
        <f>=G79*J79</f>
      </c>
      <c r="J79" s="16" t="str">
        <f>IF(EXACT(K79,"V"),K$5,0)+IF(EXACT(L79,"V"),L$5,0)+IF(EXACT(M79,"V"),M$5,0)+IF(EXACT(N79,"V"),N$5,0)+IF(EXACT(O79,"V"),O$5,0)+IF(EXACT(P79,"V"),P$5,0)+IF(EXACT(Q79,"V"),Q$5,0)</f>
      </c>
      <c r="K79" s="18"/>
      <c r="L79" s="18"/>
      <c r="M79" s="18"/>
      <c r="N79" s="18"/>
      <c r="O79" s="18"/>
      <c r="P79" s="18"/>
      <c r="Q79" s="18"/>
      <c r="R79" s="16" t="s">
        <v>19</v>
      </c>
    </row>
    <row r="80">
      <c r="A80" s="7"/>
      <c r="B80" s="9" t="s">
        <v>333</v>
      </c>
      <c r="C80" s="9"/>
      <c r="D80" s="9" t="s">
        <v>334</v>
      </c>
      <c r="E80" s="9" t="s">
        <v>164</v>
      </c>
      <c r="F80" s="9" t="s">
        <v>335</v>
      </c>
      <c r="G80" s="7"/>
      <c r="H80" s="14"/>
      <c r="I80" s="16" t="str">
        <f>=G80*J80</f>
      </c>
      <c r="J80" s="16" t="str">
        <f>IF(EXACT(K80,"V"),K$5,0)+IF(EXACT(L80,"V"),L$5,0)+IF(EXACT(M80,"V"),M$5,0)+IF(EXACT(N80,"V"),N$5,0)+IF(EXACT(O80,"V"),O$5,0)+IF(EXACT(P80,"V"),P$5,0)+IF(EXACT(Q80,"V"),Q$5,0)</f>
      </c>
      <c r="K80" s="18"/>
      <c r="L80" s="18"/>
      <c r="M80" s="18"/>
      <c r="N80" s="18"/>
      <c r="O80" s="18"/>
      <c r="P80" s="18"/>
      <c r="Q80" s="18"/>
      <c r="R80" s="16" t="s">
        <v>19</v>
      </c>
    </row>
    <row r="81">
      <c r="A81" s="6" t="s">
        <v>336</v>
      </c>
      <c r="B81" s="8" t="s">
        <v>337</v>
      </c>
      <c r="C81" s="8"/>
      <c r="D81" s="8" t="s">
        <v>338</v>
      </c>
      <c r="E81" s="8" t="s">
        <v>154</v>
      </c>
      <c r="F81" s="8" t="s">
        <v>339</v>
      </c>
      <c r="G81" s="6">
        <v>1</v>
      </c>
      <c r="H81" s="13" t="s">
        <v>340</v>
      </c>
      <c r="I81" s="15" t="str">
        <f>=G81*J81</f>
      </c>
      <c r="J81" s="15" t="str">
        <f>IF(EXACT(K81,"V"),K$5,0)+IF(EXACT(L81,"V"),L$5,0)+IF(EXACT(M81,"V"),M$5,0)+IF(EXACT(N81,"V"),N$5,0)+IF(EXACT(O81,"V"),O$5,0)+IF(EXACT(P81,"V"),P$5,0)+IF(EXACT(Q81,"V"),Q$5,0)</f>
      </c>
      <c r="K81" s="17"/>
      <c r="L81" s="17"/>
      <c r="M81" s="17"/>
      <c r="N81" s="17"/>
      <c r="O81" s="17"/>
      <c r="P81" s="17"/>
      <c r="Q81" s="17"/>
      <c r="R81" s="15" t="s">
        <v>19</v>
      </c>
    </row>
    <row r="82">
      <c r="A82" s="6"/>
      <c r="B82" s="8" t="s">
        <v>341</v>
      </c>
      <c r="C82" s="8"/>
      <c r="D82" s="8" t="s">
        <v>342</v>
      </c>
      <c r="E82" s="8" t="s">
        <v>159</v>
      </c>
      <c r="F82" s="8" t="s">
        <v>343</v>
      </c>
      <c r="G82" s="6"/>
      <c r="H82" s="13"/>
      <c r="I82" s="15" t="str">
        <f>=G82*J82</f>
      </c>
      <c r="J82" s="15" t="str">
        <f>IF(EXACT(K82,"V"),K$5,0)+IF(EXACT(L82,"V"),L$5,0)+IF(EXACT(M82,"V"),M$5,0)+IF(EXACT(N82,"V"),N$5,0)+IF(EXACT(O82,"V"),O$5,0)+IF(EXACT(P82,"V"),P$5,0)+IF(EXACT(Q82,"V"),Q$5,0)</f>
      </c>
      <c r="K82" s="17"/>
      <c r="L82" s="17"/>
      <c r="M82" s="17"/>
      <c r="N82" s="17"/>
      <c r="O82" s="17"/>
      <c r="P82" s="17"/>
      <c r="Q82" s="17"/>
      <c r="R82" s="15" t="s">
        <v>19</v>
      </c>
    </row>
    <row r="83">
      <c r="A83" s="6"/>
      <c r="B83" s="8" t="s">
        <v>344</v>
      </c>
      <c r="C83" s="8"/>
      <c r="D83" s="8" t="s">
        <v>345</v>
      </c>
      <c r="E83" s="8" t="s">
        <v>164</v>
      </c>
      <c r="F83" s="8" t="s">
        <v>346</v>
      </c>
      <c r="G83" s="6"/>
      <c r="H83" s="13"/>
      <c r="I83" s="15" t="str">
        <f>=G83*J83</f>
      </c>
      <c r="J83" s="15" t="str">
        <f>IF(EXACT(K83,"V"),K$5,0)+IF(EXACT(L83,"V"),L$5,0)+IF(EXACT(M83,"V"),M$5,0)+IF(EXACT(N83,"V"),N$5,0)+IF(EXACT(O83,"V"),O$5,0)+IF(EXACT(P83,"V"),P$5,0)+IF(EXACT(Q83,"V"),Q$5,0)</f>
      </c>
      <c r="K83" s="17"/>
      <c r="L83" s="17"/>
      <c r="M83" s="17"/>
      <c r="N83" s="17"/>
      <c r="O83" s="17"/>
      <c r="P83" s="17"/>
      <c r="Q83" s="17"/>
      <c r="R83" s="15" t="s">
        <v>19</v>
      </c>
    </row>
    <row r="84">
      <c r="A84" s="7" t="s">
        <v>347</v>
      </c>
      <c r="B84" s="9" t="s">
        <v>348</v>
      </c>
      <c r="C84" s="9"/>
      <c r="D84" s="9" t="s">
        <v>349</v>
      </c>
      <c r="E84" s="9" t="s">
        <v>28</v>
      </c>
      <c r="F84" s="9" t="s">
        <v>350</v>
      </c>
      <c r="G84" s="7">
        <v>1</v>
      </c>
      <c r="H84" s="14" t="s">
        <v>351</v>
      </c>
      <c r="I84" s="16" t="str">
        <f>=G84*J84</f>
      </c>
      <c r="J84" s="16" t="str">
        <f>IF(EXACT(K84,"V"),K$5,0)+IF(EXACT(L84,"V"),L$5,0)+IF(EXACT(M84,"V"),M$5,0)+IF(EXACT(N84,"V"),N$5,0)+IF(EXACT(O84,"V"),O$5,0)+IF(EXACT(P84,"V"),P$5,0)+IF(EXACT(Q84,"V"),Q$5,0)</f>
      </c>
      <c r="K84" s="18"/>
      <c r="L84" s="18"/>
      <c r="M84" s="18"/>
      <c r="N84" s="18"/>
      <c r="O84" s="18"/>
      <c r="P84" s="18"/>
      <c r="Q84" s="18"/>
      <c r="R84" s="16" t="s">
        <v>19</v>
      </c>
    </row>
    <row r="85">
      <c r="A85" s="7"/>
      <c r="B85" s="9" t="s">
        <v>352</v>
      </c>
      <c r="C85" s="9"/>
      <c r="D85" s="9" t="s">
        <v>353</v>
      </c>
      <c r="E85" s="9" t="s">
        <v>95</v>
      </c>
      <c r="F85" s="9" t="s">
        <v>354</v>
      </c>
      <c r="G85" s="7"/>
      <c r="H85" s="14"/>
      <c r="I85" s="16" t="str">
        <f>=G85*J85</f>
      </c>
      <c r="J85" s="16" t="str">
        <f>IF(EXACT(K85,"V"),K$5,0)+IF(EXACT(L85,"V"),L$5,0)+IF(EXACT(M85,"V"),M$5,0)+IF(EXACT(N85,"V"),N$5,0)+IF(EXACT(O85,"V"),O$5,0)+IF(EXACT(P85,"V"),P$5,0)+IF(EXACT(Q85,"V"),Q$5,0)</f>
      </c>
      <c r="K85" s="18"/>
      <c r="L85" s="18"/>
      <c r="M85" s="18"/>
      <c r="N85" s="18"/>
      <c r="O85" s="18"/>
      <c r="P85" s="18"/>
      <c r="Q85" s="18"/>
      <c r="R85" s="16" t="s">
        <v>19</v>
      </c>
    </row>
    <row r="86">
      <c r="A86" s="7"/>
      <c r="B86" s="9" t="s">
        <v>355</v>
      </c>
      <c r="C86" s="9"/>
      <c r="D86" s="9" t="s">
        <v>356</v>
      </c>
      <c r="E86" s="9" t="s">
        <v>357</v>
      </c>
      <c r="F86" s="9" t="s">
        <v>358</v>
      </c>
      <c r="G86" s="7"/>
      <c r="H86" s="14"/>
      <c r="I86" s="16" t="str">
        <f>=G86*J86</f>
      </c>
      <c r="J86" s="16" t="str">
        <f>IF(EXACT(K86,"V"),K$5,0)+IF(EXACT(L86,"V"),L$5,0)+IF(EXACT(M86,"V"),M$5,0)+IF(EXACT(N86,"V"),N$5,0)+IF(EXACT(O86,"V"),O$5,0)+IF(EXACT(P86,"V"),P$5,0)+IF(EXACT(Q86,"V"),Q$5,0)</f>
      </c>
      <c r="K86" s="18"/>
      <c r="L86" s="18"/>
      <c r="M86" s="18"/>
      <c r="N86" s="18"/>
      <c r="O86" s="18"/>
      <c r="P86" s="18"/>
      <c r="Q86" s="18"/>
      <c r="R86" s="16" t="s">
        <v>19</v>
      </c>
    </row>
    <row r="87">
      <c r="A87" s="6" t="s">
        <v>359</v>
      </c>
      <c r="B87" s="8" t="s">
        <v>360</v>
      </c>
      <c r="C87" s="8"/>
      <c r="D87" s="8" t="s">
        <v>361</v>
      </c>
      <c r="E87" s="8" t="s">
        <v>61</v>
      </c>
      <c r="F87" s="8" t="s">
        <v>362</v>
      </c>
      <c r="G87" s="6">
        <v>29</v>
      </c>
      <c r="H87" s="13" t="s">
        <v>363</v>
      </c>
      <c r="I87" s="15" t="str">
        <f>=G87*J87</f>
      </c>
      <c r="J87" s="15" t="str">
        <f>IF(EXACT(K87,"V"),K$5,0)+IF(EXACT(L87,"V"),L$5,0)+IF(EXACT(M87,"V"),M$5,0)+IF(EXACT(N87,"V"),N$5,0)+IF(EXACT(O87,"V"),O$5,0)+IF(EXACT(P87,"V"),P$5,0)+IF(EXACT(Q87,"V"),Q$5,0)</f>
      </c>
      <c r="K87" s="17"/>
      <c r="L87" s="17"/>
      <c r="M87" s="17"/>
      <c r="N87" s="17"/>
      <c r="O87" s="17"/>
      <c r="P87" s="17"/>
      <c r="Q87" s="17"/>
      <c r="R87" s="15" t="s">
        <v>19</v>
      </c>
    </row>
    <row r="88">
      <c r="A88" s="6"/>
      <c r="B88" s="8" t="s">
        <v>364</v>
      </c>
      <c r="C88" s="8"/>
      <c r="D88" s="8" t="s">
        <v>365</v>
      </c>
      <c r="E88" s="8" t="s">
        <v>115</v>
      </c>
      <c r="F88" s="8" t="s">
        <v>366</v>
      </c>
      <c r="G88" s="6"/>
      <c r="H88" s="13"/>
      <c r="I88" s="15" t="str">
        <f>=G88*J88</f>
      </c>
      <c r="J88" s="15" t="str">
        <f>IF(EXACT(K88,"V"),K$5,0)+IF(EXACT(L88,"V"),L$5,0)+IF(EXACT(M88,"V"),M$5,0)+IF(EXACT(N88,"V"),N$5,0)+IF(EXACT(O88,"V"),O$5,0)+IF(EXACT(P88,"V"),P$5,0)+IF(EXACT(Q88,"V"),Q$5,0)</f>
      </c>
      <c r="K88" s="17"/>
      <c r="L88" s="17"/>
      <c r="M88" s="17"/>
      <c r="N88" s="17"/>
      <c r="O88" s="17"/>
      <c r="P88" s="17"/>
      <c r="Q88" s="17"/>
      <c r="R88" s="15" t="s">
        <v>19</v>
      </c>
    </row>
    <row r="89">
      <c r="A89" s="7" t="s">
        <v>367</v>
      </c>
      <c r="B89" s="9" t="s">
        <v>368</v>
      </c>
      <c r="C89" s="9"/>
      <c r="D89" s="9" t="s">
        <v>369</v>
      </c>
      <c r="E89" s="9" t="s">
        <v>61</v>
      </c>
      <c r="F89" s="9" t="s">
        <v>370</v>
      </c>
      <c r="G89" s="7">
        <v>3</v>
      </c>
      <c r="H89" s="14" t="s">
        <v>371</v>
      </c>
      <c r="I89" s="16" t="str">
        <f>=G89*J89</f>
      </c>
      <c r="J89" s="16" t="str">
        <f>IF(EXACT(K89,"V"),K$5,0)+IF(EXACT(L89,"V"),L$5,0)+IF(EXACT(M89,"V"),M$5,0)+IF(EXACT(N89,"V"),N$5,0)+IF(EXACT(O89,"V"),O$5,0)+IF(EXACT(P89,"V"),P$5,0)+IF(EXACT(Q89,"V"),Q$5,0)</f>
      </c>
      <c r="K89" s="18"/>
      <c r="L89" s="18"/>
      <c r="M89" s="18"/>
      <c r="N89" s="18"/>
      <c r="O89" s="18"/>
      <c r="P89" s="18"/>
      <c r="Q89" s="18"/>
      <c r="R89" s="16" t="s">
        <v>19</v>
      </c>
    </row>
    <row r="90">
      <c r="A90" s="7"/>
      <c r="B90" s="9" t="s">
        <v>372</v>
      </c>
      <c r="C90" s="9"/>
      <c r="D90" s="9" t="s">
        <v>373</v>
      </c>
      <c r="E90" s="9" t="s">
        <v>197</v>
      </c>
      <c r="F90" s="9" t="s">
        <v>374</v>
      </c>
      <c r="G90" s="7"/>
      <c r="H90" s="14"/>
      <c r="I90" s="16" t="str">
        <f>=G90*J90</f>
      </c>
      <c r="J90" s="16" t="str">
        <f>IF(EXACT(K90,"V"),K$5,0)+IF(EXACT(L90,"V"),L$5,0)+IF(EXACT(M90,"V"),M$5,0)+IF(EXACT(N90,"V"),N$5,0)+IF(EXACT(O90,"V"),O$5,0)+IF(EXACT(P90,"V"),P$5,0)+IF(EXACT(Q90,"V"),Q$5,0)</f>
      </c>
      <c r="K90" s="18"/>
      <c r="L90" s="18"/>
      <c r="M90" s="18"/>
      <c r="N90" s="18"/>
      <c r="O90" s="18"/>
      <c r="P90" s="18"/>
      <c r="Q90" s="18"/>
      <c r="R90" s="16" t="s">
        <v>19</v>
      </c>
    </row>
    <row r="91">
      <c r="A91" s="7"/>
      <c r="B91" s="9" t="s">
        <v>375</v>
      </c>
      <c r="C91" s="9"/>
      <c r="D91" s="9" t="s">
        <v>376</v>
      </c>
      <c r="E91" s="9" t="s">
        <v>120</v>
      </c>
      <c r="F91" s="9" t="s">
        <v>377</v>
      </c>
      <c r="G91" s="7"/>
      <c r="H91" s="14"/>
      <c r="I91" s="16" t="str">
        <f>=G91*J91</f>
      </c>
      <c r="J91" s="16" t="str">
        <f>IF(EXACT(K91,"V"),K$5,0)+IF(EXACT(L91,"V"),L$5,0)+IF(EXACT(M91,"V"),M$5,0)+IF(EXACT(N91,"V"),N$5,0)+IF(EXACT(O91,"V"),O$5,0)+IF(EXACT(P91,"V"),P$5,0)+IF(EXACT(Q91,"V"),Q$5,0)</f>
      </c>
      <c r="K91" s="18"/>
      <c r="L91" s="18"/>
      <c r="M91" s="18"/>
      <c r="N91" s="18"/>
      <c r="O91" s="18"/>
      <c r="P91" s="18"/>
      <c r="Q91" s="18"/>
      <c r="R91" s="16" t="s">
        <v>19</v>
      </c>
    </row>
    <row r="92">
      <c r="A92" s="7"/>
      <c r="B92" s="9" t="s">
        <v>378</v>
      </c>
      <c r="C92" s="9"/>
      <c r="D92" s="9" t="s">
        <v>379</v>
      </c>
      <c r="E92" s="9" t="s">
        <v>112</v>
      </c>
      <c r="F92" s="9" t="s">
        <v>380</v>
      </c>
      <c r="G92" s="7"/>
      <c r="H92" s="14"/>
      <c r="I92" s="16" t="str">
        <f>=G92*J92</f>
      </c>
      <c r="J92" s="16" t="str">
        <f>IF(EXACT(K92,"V"),K$5,0)+IF(EXACT(L92,"V"),L$5,0)+IF(EXACT(M92,"V"),M$5,0)+IF(EXACT(N92,"V"),N$5,0)+IF(EXACT(O92,"V"),O$5,0)+IF(EXACT(P92,"V"),P$5,0)+IF(EXACT(Q92,"V"),Q$5,0)</f>
      </c>
      <c r="K92" s="18"/>
      <c r="L92" s="18"/>
      <c r="M92" s="18"/>
      <c r="N92" s="18"/>
      <c r="O92" s="18"/>
      <c r="P92" s="18"/>
      <c r="Q92" s="18"/>
      <c r="R92" s="16" t="s">
        <v>19</v>
      </c>
    </row>
    <row r="93">
      <c r="A93" s="6" t="s">
        <v>381</v>
      </c>
      <c r="B93" s="8" t="s">
        <v>382</v>
      </c>
      <c r="C93" s="8"/>
      <c r="D93" s="8" t="s">
        <v>383</v>
      </c>
      <c r="E93" s="8" t="s">
        <v>61</v>
      </c>
      <c r="F93" s="8" t="s">
        <v>384</v>
      </c>
      <c r="G93" s="6">
        <v>1</v>
      </c>
      <c r="H93" s="13" t="s">
        <v>385</v>
      </c>
      <c r="I93" s="15" t="str">
        <f>=G93*J93</f>
      </c>
      <c r="J93" s="15" t="str">
        <f>IF(EXACT(K93,"V"),K$5,0)+IF(EXACT(L93,"V"),L$5,0)+IF(EXACT(M93,"V"),M$5,0)+IF(EXACT(N93,"V"),N$5,0)+IF(EXACT(O93,"V"),O$5,0)+IF(EXACT(P93,"V"),P$5,0)+IF(EXACT(Q93,"V"),Q$5,0)</f>
      </c>
      <c r="K93" s="17"/>
      <c r="L93" s="17"/>
      <c r="M93" s="17"/>
      <c r="N93" s="17"/>
      <c r="O93" s="17"/>
      <c r="P93" s="17"/>
      <c r="Q93" s="17"/>
      <c r="R93" s="15" t="s">
        <v>19</v>
      </c>
    </row>
    <row r="94">
      <c r="A94" s="7" t="s">
        <v>386</v>
      </c>
      <c r="B94" s="9" t="s">
        <v>387</v>
      </c>
      <c r="C94" s="9"/>
      <c r="D94" s="9" t="s">
        <v>388</v>
      </c>
      <c r="E94" s="9" t="s">
        <v>120</v>
      </c>
      <c r="F94" s="9" t="s">
        <v>389</v>
      </c>
      <c r="G94" s="7">
        <v>1</v>
      </c>
      <c r="H94" s="14" t="s">
        <v>390</v>
      </c>
      <c r="I94" s="16" t="str">
        <f>=G94*J94</f>
      </c>
      <c r="J94" s="16" t="str">
        <f>IF(EXACT(K94,"V"),K$5,0)+IF(EXACT(L94,"V"),L$5,0)+IF(EXACT(M94,"V"),M$5,0)+IF(EXACT(N94,"V"),N$5,0)+IF(EXACT(O94,"V"),O$5,0)+IF(EXACT(P94,"V"),P$5,0)+IF(EXACT(Q94,"V"),Q$5,0)</f>
      </c>
      <c r="K94" s="18"/>
      <c r="L94" s="18"/>
      <c r="M94" s="18"/>
      <c r="N94" s="18"/>
      <c r="O94" s="18"/>
      <c r="P94" s="18"/>
      <c r="Q94" s="18"/>
      <c r="R94" s="16" t="s">
        <v>19</v>
      </c>
    </row>
    <row r="95">
      <c r="A95" s="7"/>
      <c r="B95" s="9" t="s">
        <v>391</v>
      </c>
      <c r="C95" s="9"/>
      <c r="D95" s="9" t="s">
        <v>392</v>
      </c>
      <c r="E95" s="9" t="s">
        <v>126</v>
      </c>
      <c r="F95" s="9" t="s">
        <v>393</v>
      </c>
      <c r="G95" s="7"/>
      <c r="H95" s="14"/>
      <c r="I95" s="16" t="str">
        <f>=G95*J95</f>
      </c>
      <c r="J95" s="16" t="str">
        <f>IF(EXACT(K95,"V"),K$5,0)+IF(EXACT(L95,"V"),L$5,0)+IF(EXACT(M95,"V"),M$5,0)+IF(EXACT(N95,"V"),N$5,0)+IF(EXACT(O95,"V"),O$5,0)+IF(EXACT(P95,"V"),P$5,0)+IF(EXACT(Q95,"V"),Q$5,0)</f>
      </c>
      <c r="K95" s="18"/>
      <c r="L95" s="18"/>
      <c r="M95" s="18"/>
      <c r="N95" s="18"/>
      <c r="O95" s="18"/>
      <c r="P95" s="18"/>
      <c r="Q95" s="18"/>
      <c r="R95" s="16" t="s">
        <v>19</v>
      </c>
    </row>
    <row r="96">
      <c r="A96" s="7"/>
      <c r="B96" s="9" t="s">
        <v>394</v>
      </c>
      <c r="C96" s="9"/>
      <c r="D96" s="9" t="s">
        <v>395</v>
      </c>
      <c r="E96" s="9" t="s">
        <v>61</v>
      </c>
      <c r="F96" s="9" t="s">
        <v>396</v>
      </c>
      <c r="G96" s="7"/>
      <c r="H96" s="14"/>
      <c r="I96" s="16" t="str">
        <f>=G96*J96</f>
      </c>
      <c r="J96" s="16" t="str">
        <f>IF(EXACT(K96,"V"),K$5,0)+IF(EXACT(L96,"V"),L$5,0)+IF(EXACT(M96,"V"),M$5,0)+IF(EXACT(N96,"V"),N$5,0)+IF(EXACT(O96,"V"),O$5,0)+IF(EXACT(P96,"V"),P$5,0)+IF(EXACT(Q96,"V"),Q$5,0)</f>
      </c>
      <c r="K96" s="18"/>
      <c r="L96" s="18"/>
      <c r="M96" s="18"/>
      <c r="N96" s="18"/>
      <c r="O96" s="18"/>
      <c r="P96" s="18"/>
      <c r="Q96" s="18"/>
      <c r="R96" s="16" t="s">
        <v>19</v>
      </c>
    </row>
    <row r="97">
      <c r="A97" s="7"/>
      <c r="B97" s="9" t="s">
        <v>397</v>
      </c>
      <c r="C97" s="9"/>
      <c r="D97" s="9" t="s">
        <v>398</v>
      </c>
      <c r="E97" s="9" t="s">
        <v>399</v>
      </c>
      <c r="F97" s="9" t="s">
        <v>400</v>
      </c>
      <c r="G97" s="7"/>
      <c r="H97" s="14"/>
      <c r="I97" s="16" t="str">
        <f>=G97*J97</f>
      </c>
      <c r="J97" s="16" t="str">
        <f>IF(EXACT(K97,"V"),K$5,0)+IF(EXACT(L97,"V"),L$5,0)+IF(EXACT(M97,"V"),M$5,0)+IF(EXACT(N97,"V"),N$5,0)+IF(EXACT(O97,"V"),O$5,0)+IF(EXACT(P97,"V"),P$5,0)+IF(EXACT(Q97,"V"),Q$5,0)</f>
      </c>
      <c r="K97" s="18"/>
      <c r="L97" s="18"/>
      <c r="M97" s="18"/>
      <c r="N97" s="18"/>
      <c r="O97" s="18"/>
      <c r="P97" s="18"/>
      <c r="Q97" s="18"/>
      <c r="R97" s="16" t="s">
        <v>19</v>
      </c>
    </row>
    <row r="98">
      <c r="A98" s="7"/>
      <c r="B98" s="9" t="s">
        <v>401</v>
      </c>
      <c r="C98" s="9"/>
      <c r="D98" s="9" t="s">
        <v>402</v>
      </c>
      <c r="E98" s="9" t="s">
        <v>403</v>
      </c>
      <c r="F98" s="9" t="s">
        <v>404</v>
      </c>
      <c r="G98" s="7"/>
      <c r="H98" s="14"/>
      <c r="I98" s="16" t="str">
        <f>=G98*J98</f>
      </c>
      <c r="J98" s="16" t="str">
        <f>IF(EXACT(K98,"V"),K$5,0)+IF(EXACT(L98,"V"),L$5,0)+IF(EXACT(M98,"V"),M$5,0)+IF(EXACT(N98,"V"),N$5,0)+IF(EXACT(O98,"V"),O$5,0)+IF(EXACT(P98,"V"),P$5,0)+IF(EXACT(Q98,"V"),Q$5,0)</f>
      </c>
      <c r="K98" s="18"/>
      <c r="L98" s="18"/>
      <c r="M98" s="18"/>
      <c r="N98" s="18"/>
      <c r="O98" s="18"/>
      <c r="P98" s="18"/>
      <c r="Q98" s="18"/>
      <c r="R98" s="16" t="s">
        <v>19</v>
      </c>
    </row>
    <row r="99">
      <c r="A99" s="7"/>
      <c r="B99" s="9" t="s">
        <v>405</v>
      </c>
      <c r="C99" s="9"/>
      <c r="D99" s="9" t="s">
        <v>406</v>
      </c>
      <c r="E99" s="9" t="s">
        <v>407</v>
      </c>
      <c r="F99" s="9" t="s">
        <v>408</v>
      </c>
      <c r="G99" s="7"/>
      <c r="H99" s="14"/>
      <c r="I99" s="16" t="str">
        <f>=G99*J99</f>
      </c>
      <c r="J99" s="16" t="str">
        <f>IF(EXACT(K99,"V"),K$5,0)+IF(EXACT(L99,"V"),L$5,0)+IF(EXACT(M99,"V"),M$5,0)+IF(EXACT(N99,"V"),N$5,0)+IF(EXACT(O99,"V"),O$5,0)+IF(EXACT(P99,"V"),P$5,0)+IF(EXACT(Q99,"V"),Q$5,0)</f>
      </c>
      <c r="K99" s="18"/>
      <c r="L99" s="18"/>
      <c r="M99" s="18"/>
      <c r="N99" s="18"/>
      <c r="O99" s="18"/>
      <c r="P99" s="18"/>
      <c r="Q99" s="18"/>
      <c r="R99" s="16" t="s">
        <v>19</v>
      </c>
    </row>
    <row r="100">
      <c r="A100" s="6" t="s">
        <v>409</v>
      </c>
      <c r="B100" s="8" t="s">
        <v>410</v>
      </c>
      <c r="C100" s="8"/>
      <c r="D100" s="8" t="s">
        <v>411</v>
      </c>
      <c r="E100" s="8" t="s">
        <v>120</v>
      </c>
      <c r="F100" s="8" t="s">
        <v>412</v>
      </c>
      <c r="G100" s="6">
        <v>1</v>
      </c>
      <c r="H100" s="13" t="s">
        <v>413</v>
      </c>
      <c r="I100" s="15" t="str">
        <f>=G100*J100</f>
      </c>
      <c r="J100" s="15" t="str">
        <f>IF(EXACT(K100,"V"),K$5,0)+IF(EXACT(L100,"V"),L$5,0)+IF(EXACT(M100,"V"),M$5,0)+IF(EXACT(N100,"V"),N$5,0)+IF(EXACT(O100,"V"),O$5,0)+IF(EXACT(P100,"V"),P$5,0)+IF(EXACT(Q100,"V"),Q$5,0)</f>
      </c>
      <c r="K100" s="17"/>
      <c r="L100" s="17"/>
      <c r="M100" s="17"/>
      <c r="N100" s="17"/>
      <c r="O100" s="17"/>
      <c r="P100" s="17"/>
      <c r="Q100" s="17"/>
      <c r="R100" s="15" t="s">
        <v>19</v>
      </c>
    </row>
    <row r="101">
      <c r="A101" s="6"/>
      <c r="B101" s="8" t="s">
        <v>414</v>
      </c>
      <c r="C101" s="8"/>
      <c r="D101" s="8" t="s">
        <v>415</v>
      </c>
      <c r="E101" s="8" t="s">
        <v>416</v>
      </c>
      <c r="F101" s="8" t="s">
        <v>417</v>
      </c>
      <c r="G101" s="6"/>
      <c r="H101" s="13"/>
      <c r="I101" s="15" t="str">
        <f>=G101*J101</f>
      </c>
      <c r="J101" s="15" t="str">
        <f>IF(EXACT(K101,"V"),K$5,0)+IF(EXACT(L101,"V"),L$5,0)+IF(EXACT(M101,"V"),M$5,0)+IF(EXACT(N101,"V"),N$5,0)+IF(EXACT(O101,"V"),O$5,0)+IF(EXACT(P101,"V"),P$5,0)+IF(EXACT(Q101,"V"),Q$5,0)</f>
      </c>
      <c r="K101" s="17"/>
      <c r="L101" s="17"/>
      <c r="M101" s="17"/>
      <c r="N101" s="17"/>
      <c r="O101" s="17"/>
      <c r="P101" s="17"/>
      <c r="Q101" s="17"/>
      <c r="R101" s="15" t="s">
        <v>19</v>
      </c>
    </row>
    <row r="102">
      <c r="A102" s="6"/>
      <c r="B102" s="8" t="s">
        <v>418</v>
      </c>
      <c r="C102" s="8"/>
      <c r="D102" s="8" t="s">
        <v>419</v>
      </c>
      <c r="E102" s="8" t="s">
        <v>403</v>
      </c>
      <c r="F102" s="8" t="s">
        <v>420</v>
      </c>
      <c r="G102" s="6"/>
      <c r="H102" s="13"/>
      <c r="I102" s="15" t="str">
        <f>=G102*J102</f>
      </c>
      <c r="J102" s="15" t="str">
        <f>IF(EXACT(K102,"V"),K$5,0)+IF(EXACT(L102,"V"),L$5,0)+IF(EXACT(M102,"V"),M$5,0)+IF(EXACT(N102,"V"),N$5,0)+IF(EXACT(O102,"V"),O$5,0)+IF(EXACT(P102,"V"),P$5,0)+IF(EXACT(Q102,"V"),Q$5,0)</f>
      </c>
      <c r="K102" s="17"/>
      <c r="L102" s="17"/>
      <c r="M102" s="17"/>
      <c r="N102" s="17"/>
      <c r="O102" s="17"/>
      <c r="P102" s="17"/>
      <c r="Q102" s="17"/>
      <c r="R102" s="15" t="s">
        <v>19</v>
      </c>
    </row>
    <row r="103">
      <c r="A103" s="6"/>
      <c r="B103" s="8" t="s">
        <v>421</v>
      </c>
      <c r="C103" s="8"/>
      <c r="D103" s="8" t="s">
        <v>422</v>
      </c>
      <c r="E103" s="8" t="s">
        <v>423</v>
      </c>
      <c r="F103" s="8" t="s">
        <v>424</v>
      </c>
      <c r="G103" s="6"/>
      <c r="H103" s="13"/>
      <c r="I103" s="15" t="str">
        <f>=G103*J103</f>
      </c>
      <c r="J103" s="15" t="str">
        <f>IF(EXACT(K103,"V"),K$5,0)+IF(EXACT(L103,"V"),L$5,0)+IF(EXACT(M103,"V"),M$5,0)+IF(EXACT(N103,"V"),N$5,0)+IF(EXACT(O103,"V"),O$5,0)+IF(EXACT(P103,"V"),P$5,0)+IF(EXACT(Q103,"V"),Q$5,0)</f>
      </c>
      <c r="K103" s="17"/>
      <c r="L103" s="17"/>
      <c r="M103" s="17"/>
      <c r="N103" s="17"/>
      <c r="O103" s="17"/>
      <c r="P103" s="17"/>
      <c r="Q103" s="17"/>
      <c r="R103" s="15" t="s">
        <v>19</v>
      </c>
    </row>
    <row r="104">
      <c r="A104" s="7" t="s">
        <v>425</v>
      </c>
      <c r="B104" s="9" t="s">
        <v>426</v>
      </c>
      <c r="C104" s="9"/>
      <c r="D104" s="9" t="s">
        <v>427</v>
      </c>
      <c r="E104" s="9" t="s">
        <v>126</v>
      </c>
      <c r="F104" s="9" t="s">
        <v>428</v>
      </c>
      <c r="G104" s="7">
        <v>1</v>
      </c>
      <c r="H104" s="14" t="s">
        <v>429</v>
      </c>
      <c r="I104" s="16" t="str">
        <f>=G104*J104</f>
      </c>
      <c r="J104" s="16" t="str">
        <f>IF(EXACT(K104,"V"),K$5,0)+IF(EXACT(L104,"V"),L$5,0)+IF(EXACT(M104,"V"),M$5,0)+IF(EXACT(N104,"V"),N$5,0)+IF(EXACT(O104,"V"),O$5,0)+IF(EXACT(P104,"V"),P$5,0)+IF(EXACT(Q104,"V"),Q$5,0)</f>
      </c>
      <c r="K104" s="18"/>
      <c r="L104" s="18"/>
      <c r="M104" s="18"/>
      <c r="N104" s="18"/>
      <c r="O104" s="18"/>
      <c r="P104" s="18"/>
      <c r="Q104" s="18"/>
      <c r="R104" s="16" t="s">
        <v>19</v>
      </c>
    </row>
    <row r="105">
      <c r="A105" s="7"/>
      <c r="B105" s="9" t="s">
        <v>430</v>
      </c>
      <c r="C105" s="9"/>
      <c r="D105" s="9" t="s">
        <v>431</v>
      </c>
      <c r="E105" s="9" t="s">
        <v>120</v>
      </c>
      <c r="F105" s="9" t="s">
        <v>432</v>
      </c>
      <c r="G105" s="7"/>
      <c r="H105" s="14"/>
      <c r="I105" s="16" t="str">
        <f>=G105*J105</f>
      </c>
      <c r="J105" s="16" t="str">
        <f>IF(EXACT(K105,"V"),K$5,0)+IF(EXACT(L105,"V"),L$5,0)+IF(EXACT(M105,"V"),M$5,0)+IF(EXACT(N105,"V"),N$5,0)+IF(EXACT(O105,"V"),O$5,0)+IF(EXACT(P105,"V"),P$5,0)+IF(EXACT(Q105,"V"),Q$5,0)</f>
      </c>
      <c r="K105" s="18"/>
      <c r="L105" s="18"/>
      <c r="M105" s="18"/>
      <c r="N105" s="18"/>
      <c r="O105" s="18"/>
      <c r="P105" s="18"/>
      <c r="Q105" s="18"/>
      <c r="R105" s="16" t="s">
        <v>19</v>
      </c>
    </row>
    <row r="106">
      <c r="A106" s="7"/>
      <c r="B106" s="9" t="s">
        <v>433</v>
      </c>
      <c r="C106" s="9"/>
      <c r="D106" s="9" t="s">
        <v>434</v>
      </c>
      <c r="E106" s="9" t="s">
        <v>403</v>
      </c>
      <c r="F106" s="9" t="s">
        <v>435</v>
      </c>
      <c r="G106" s="7"/>
      <c r="H106" s="14"/>
      <c r="I106" s="16" t="str">
        <f>=G106*J106</f>
      </c>
      <c r="J106" s="16" t="str">
        <f>IF(EXACT(K106,"V"),K$5,0)+IF(EXACT(L106,"V"),L$5,0)+IF(EXACT(M106,"V"),M$5,0)+IF(EXACT(N106,"V"),N$5,0)+IF(EXACT(O106,"V"),O$5,0)+IF(EXACT(P106,"V"),P$5,0)+IF(EXACT(Q106,"V"),Q$5,0)</f>
      </c>
      <c r="K106" s="18"/>
      <c r="L106" s="18"/>
      <c r="M106" s="18"/>
      <c r="N106" s="18"/>
      <c r="O106" s="18"/>
      <c r="P106" s="18"/>
      <c r="Q106" s="18"/>
      <c r="R106" s="16" t="s">
        <v>19</v>
      </c>
    </row>
    <row r="107">
      <c r="A107" s="7"/>
      <c r="B107" s="9" t="s">
        <v>436</v>
      </c>
      <c r="C107" s="9"/>
      <c r="D107" s="9" t="s">
        <v>437</v>
      </c>
      <c r="E107" s="9" t="s">
        <v>423</v>
      </c>
      <c r="F107" s="9" t="s">
        <v>438</v>
      </c>
      <c r="G107" s="7"/>
      <c r="H107" s="14"/>
      <c r="I107" s="16" t="str">
        <f>=G107*J107</f>
      </c>
      <c r="J107" s="16" t="str">
        <f>IF(EXACT(K107,"V"),K$5,0)+IF(EXACT(L107,"V"),L$5,0)+IF(EXACT(M107,"V"),M$5,0)+IF(EXACT(N107,"V"),N$5,0)+IF(EXACT(O107,"V"),O$5,0)+IF(EXACT(P107,"V"),P$5,0)+IF(EXACT(Q107,"V"),Q$5,0)</f>
      </c>
      <c r="K107" s="18"/>
      <c r="L107" s="18"/>
      <c r="M107" s="18"/>
      <c r="N107" s="18"/>
      <c r="O107" s="18"/>
      <c r="P107" s="18"/>
      <c r="Q107" s="18"/>
      <c r="R107" s="16" t="s">
        <v>19</v>
      </c>
    </row>
    <row r="108">
      <c r="A108" s="6" t="s">
        <v>439</v>
      </c>
      <c r="B108" s="8" t="s">
        <v>440</v>
      </c>
      <c r="C108" s="8"/>
      <c r="D108" s="8" t="s">
        <v>441</v>
      </c>
      <c r="E108" s="8" t="s">
        <v>403</v>
      </c>
      <c r="F108" s="8" t="s">
        <v>442</v>
      </c>
      <c r="G108" s="6">
        <v>2</v>
      </c>
      <c r="H108" s="13" t="s">
        <v>443</v>
      </c>
      <c r="I108" s="15" t="str">
        <f>=G108*J108</f>
      </c>
      <c r="J108" s="15" t="str">
        <f>IF(EXACT(K108,"V"),K$5,0)+IF(EXACT(L108,"V"),L$5,0)+IF(EXACT(M108,"V"),M$5,0)+IF(EXACT(N108,"V"),N$5,0)+IF(EXACT(O108,"V"),O$5,0)+IF(EXACT(P108,"V"),P$5,0)+IF(EXACT(Q108,"V"),Q$5,0)</f>
      </c>
      <c r="K108" s="17"/>
      <c r="L108" s="17"/>
      <c r="M108" s="17"/>
      <c r="N108" s="17"/>
      <c r="O108" s="17"/>
      <c r="P108" s="17"/>
      <c r="Q108" s="17"/>
      <c r="R108" s="15" t="s">
        <v>19</v>
      </c>
    </row>
    <row r="109">
      <c r="A109" s="6"/>
      <c r="B109" s="8" t="s">
        <v>444</v>
      </c>
      <c r="C109" s="8"/>
      <c r="D109" s="8" t="s">
        <v>445</v>
      </c>
      <c r="E109" s="8" t="s">
        <v>126</v>
      </c>
      <c r="F109" s="8" t="s">
        <v>446</v>
      </c>
      <c r="G109" s="6"/>
      <c r="H109" s="13"/>
      <c r="I109" s="15" t="str">
        <f>=G109*J109</f>
      </c>
      <c r="J109" s="15" t="str">
        <f>IF(EXACT(K109,"V"),K$5,0)+IF(EXACT(L109,"V"),L$5,0)+IF(EXACT(M109,"V"),M$5,0)+IF(EXACT(N109,"V"),N$5,0)+IF(EXACT(O109,"V"),O$5,0)+IF(EXACT(P109,"V"),P$5,0)+IF(EXACT(Q109,"V"),Q$5,0)</f>
      </c>
      <c r="K109" s="17"/>
      <c r="L109" s="17"/>
      <c r="M109" s="17"/>
      <c r="N109" s="17"/>
      <c r="O109" s="17"/>
      <c r="P109" s="17"/>
      <c r="Q109" s="17"/>
      <c r="R109" s="15" t="s">
        <v>19</v>
      </c>
    </row>
    <row r="110">
      <c r="A110" s="6"/>
      <c r="B110" s="8" t="s">
        <v>447</v>
      </c>
      <c r="C110" s="8"/>
      <c r="D110" s="8" t="s">
        <v>448</v>
      </c>
      <c r="E110" s="8" t="s">
        <v>120</v>
      </c>
      <c r="F110" s="8" t="s">
        <v>449</v>
      </c>
      <c r="G110" s="6"/>
      <c r="H110" s="13"/>
      <c r="I110" s="15" t="str">
        <f>=G110*J110</f>
      </c>
      <c r="J110" s="15" t="str">
        <f>IF(EXACT(K110,"V"),K$5,0)+IF(EXACT(L110,"V"),L$5,0)+IF(EXACT(M110,"V"),M$5,0)+IF(EXACT(N110,"V"),N$5,0)+IF(EXACT(O110,"V"),O$5,0)+IF(EXACT(P110,"V"),P$5,0)+IF(EXACT(Q110,"V"),Q$5,0)</f>
      </c>
      <c r="K110" s="17"/>
      <c r="L110" s="17"/>
      <c r="M110" s="17"/>
      <c r="N110" s="17"/>
      <c r="O110" s="17"/>
      <c r="P110" s="17"/>
      <c r="Q110" s="17"/>
      <c r="R110" s="15" t="s">
        <v>19</v>
      </c>
    </row>
    <row r="111">
      <c r="A111" s="6"/>
      <c r="B111" s="8" t="s">
        <v>450</v>
      </c>
      <c r="C111" s="8"/>
      <c r="D111" s="8" t="s">
        <v>451</v>
      </c>
      <c r="E111" s="8" t="s">
        <v>416</v>
      </c>
      <c r="F111" s="8" t="s">
        <v>452</v>
      </c>
      <c r="G111" s="6"/>
      <c r="H111" s="13"/>
      <c r="I111" s="15" t="str">
        <f>=G111*J111</f>
      </c>
      <c r="J111" s="15" t="str">
        <f>IF(EXACT(K111,"V"),K$5,0)+IF(EXACT(L111,"V"),L$5,0)+IF(EXACT(M111,"V"),M$5,0)+IF(EXACT(N111,"V"),N$5,0)+IF(EXACT(O111,"V"),O$5,0)+IF(EXACT(P111,"V"),P$5,0)+IF(EXACT(Q111,"V"),Q$5,0)</f>
      </c>
      <c r="K111" s="17"/>
      <c r="L111" s="17"/>
      <c r="M111" s="17"/>
      <c r="N111" s="17"/>
      <c r="O111" s="17"/>
      <c r="P111" s="17"/>
      <c r="Q111" s="17"/>
      <c r="R111" s="15" t="s">
        <v>19</v>
      </c>
    </row>
    <row r="112">
      <c r="A112" s="6"/>
      <c r="B112" s="8" t="s">
        <v>453</v>
      </c>
      <c r="C112" s="8"/>
      <c r="D112" s="8" t="s">
        <v>454</v>
      </c>
      <c r="E112" s="8" t="s">
        <v>399</v>
      </c>
      <c r="F112" s="8" t="s">
        <v>455</v>
      </c>
      <c r="G112" s="6"/>
      <c r="H112" s="13"/>
      <c r="I112" s="15" t="str">
        <f>=G112*J112</f>
      </c>
      <c r="J112" s="15" t="str">
        <f>IF(EXACT(K112,"V"),K$5,0)+IF(EXACT(L112,"V"),L$5,0)+IF(EXACT(M112,"V"),M$5,0)+IF(EXACT(N112,"V"),N$5,0)+IF(EXACT(O112,"V"),O$5,0)+IF(EXACT(P112,"V"),P$5,0)+IF(EXACT(Q112,"V"),Q$5,0)</f>
      </c>
      <c r="K112" s="17"/>
      <c r="L112" s="17"/>
      <c r="M112" s="17"/>
      <c r="N112" s="17"/>
      <c r="O112" s="17"/>
      <c r="P112" s="17"/>
      <c r="Q112" s="17"/>
      <c r="R112" s="15" t="s">
        <v>19</v>
      </c>
    </row>
    <row r="113">
      <c r="A113" s="6"/>
      <c r="B113" s="8" t="s">
        <v>456</v>
      </c>
      <c r="C113" s="8"/>
      <c r="D113" s="8" t="s">
        <v>457</v>
      </c>
      <c r="E113" s="8" t="s">
        <v>407</v>
      </c>
      <c r="F113" s="8" t="s">
        <v>458</v>
      </c>
      <c r="G113" s="6"/>
      <c r="H113" s="13"/>
      <c r="I113" s="15" t="str">
        <f>=G113*J113</f>
      </c>
      <c r="J113" s="15" t="str">
        <f>IF(EXACT(K113,"V"),K$5,0)+IF(EXACT(L113,"V"),L$5,0)+IF(EXACT(M113,"V"),M$5,0)+IF(EXACT(N113,"V"),N$5,0)+IF(EXACT(O113,"V"),O$5,0)+IF(EXACT(P113,"V"),P$5,0)+IF(EXACT(Q113,"V"),Q$5,0)</f>
      </c>
      <c r="K113" s="17"/>
      <c r="L113" s="17"/>
      <c r="M113" s="17"/>
      <c r="N113" s="17"/>
      <c r="O113" s="17"/>
      <c r="P113" s="17"/>
      <c r="Q113" s="17"/>
      <c r="R113" s="15" t="s">
        <v>19</v>
      </c>
    </row>
    <row r="114">
      <c r="A114" s="7" t="s">
        <v>459</v>
      </c>
      <c r="B114" s="9" t="s">
        <v>460</v>
      </c>
      <c r="C114" s="9"/>
      <c r="D114" s="9" t="s">
        <v>461</v>
      </c>
      <c r="E114" s="9" t="s">
        <v>403</v>
      </c>
      <c r="F114" s="9" t="s">
        <v>462</v>
      </c>
      <c r="G114" s="7">
        <v>4</v>
      </c>
      <c r="H114" s="14" t="s">
        <v>463</v>
      </c>
      <c r="I114" s="16" t="str">
        <f>=G114*J114</f>
      </c>
      <c r="J114" s="16" t="str">
        <f>IF(EXACT(K114,"V"),K$5,0)+IF(EXACT(L114,"V"),L$5,0)+IF(EXACT(M114,"V"),M$5,0)+IF(EXACT(N114,"V"),N$5,0)+IF(EXACT(O114,"V"),O$5,0)+IF(EXACT(P114,"V"),P$5,0)+IF(EXACT(Q114,"V"),Q$5,0)</f>
      </c>
      <c r="K114" s="18"/>
      <c r="L114" s="18"/>
      <c r="M114" s="18"/>
      <c r="N114" s="18"/>
      <c r="O114" s="18"/>
      <c r="P114" s="18"/>
      <c r="Q114" s="18"/>
      <c r="R114" s="16" t="s">
        <v>19</v>
      </c>
    </row>
    <row r="115">
      <c r="A115" s="7"/>
      <c r="B115" s="9" t="s">
        <v>464</v>
      </c>
      <c r="C115" s="9"/>
      <c r="D115" s="9" t="s">
        <v>465</v>
      </c>
      <c r="E115" s="9" t="s">
        <v>120</v>
      </c>
      <c r="F115" s="9" t="s">
        <v>466</v>
      </c>
      <c r="G115" s="7"/>
      <c r="H115" s="14"/>
      <c r="I115" s="16" t="str">
        <f>=G115*J115</f>
      </c>
      <c r="J115" s="16" t="str">
        <f>IF(EXACT(K115,"V"),K$5,0)+IF(EXACT(L115,"V"),L$5,0)+IF(EXACT(M115,"V"),M$5,0)+IF(EXACT(N115,"V"),N$5,0)+IF(EXACT(O115,"V"),O$5,0)+IF(EXACT(P115,"V"),P$5,0)+IF(EXACT(Q115,"V"),Q$5,0)</f>
      </c>
      <c r="K115" s="18"/>
      <c r="L115" s="18"/>
      <c r="M115" s="18"/>
      <c r="N115" s="18"/>
      <c r="O115" s="18"/>
      <c r="P115" s="18"/>
      <c r="Q115" s="18"/>
      <c r="R115" s="16" t="s">
        <v>19</v>
      </c>
    </row>
    <row r="116">
      <c r="A116" s="7"/>
      <c r="B116" s="9" t="s">
        <v>467</v>
      </c>
      <c r="C116" s="9"/>
      <c r="D116" s="9" t="s">
        <v>468</v>
      </c>
      <c r="E116" s="9" t="s">
        <v>407</v>
      </c>
      <c r="F116" s="9" t="s">
        <v>469</v>
      </c>
      <c r="G116" s="7"/>
      <c r="H116" s="14"/>
      <c r="I116" s="16" t="str">
        <f>=G116*J116</f>
      </c>
      <c r="J116" s="16" t="str">
        <f>IF(EXACT(K116,"V"),K$5,0)+IF(EXACT(L116,"V"),L$5,0)+IF(EXACT(M116,"V"),M$5,0)+IF(EXACT(N116,"V"),N$5,0)+IF(EXACT(O116,"V"),O$5,0)+IF(EXACT(P116,"V"),P$5,0)+IF(EXACT(Q116,"V"),Q$5,0)</f>
      </c>
      <c r="K116" s="18"/>
      <c r="L116" s="18"/>
      <c r="M116" s="18"/>
      <c r="N116" s="18"/>
      <c r="O116" s="18"/>
      <c r="P116" s="18"/>
      <c r="Q116" s="18"/>
      <c r="R116" s="16" t="s">
        <v>19</v>
      </c>
    </row>
    <row r="117">
      <c r="A117" s="6" t="s">
        <v>470</v>
      </c>
      <c r="B117" s="8" t="s">
        <v>471</v>
      </c>
      <c r="C117" s="8"/>
      <c r="D117" s="8" t="s">
        <v>472</v>
      </c>
      <c r="E117" s="8" t="s">
        <v>473</v>
      </c>
      <c r="F117" s="8" t="s">
        <v>474</v>
      </c>
      <c r="G117" s="6">
        <v>1</v>
      </c>
      <c r="H117" s="13" t="s">
        <v>475</v>
      </c>
      <c r="I117" s="15" t="str">
        <f>=G117*J117</f>
      </c>
      <c r="J117" s="15" t="str">
        <f>IF(EXACT(K117,"V"),K$5,0)+IF(EXACT(L117,"V"),L$5,0)+IF(EXACT(M117,"V"),M$5,0)+IF(EXACT(N117,"V"),N$5,0)+IF(EXACT(O117,"V"),O$5,0)+IF(EXACT(P117,"V"),P$5,0)+IF(EXACT(Q117,"V"),Q$5,0)</f>
      </c>
      <c r="K117" s="17"/>
      <c r="L117" s="17"/>
      <c r="M117" s="17"/>
      <c r="N117" s="17"/>
      <c r="O117" s="17"/>
      <c r="P117" s="17"/>
      <c r="Q117" s="17"/>
      <c r="R117" s="15" t="s">
        <v>476</v>
      </c>
    </row>
    <row r="118">
      <c r="A118" s="6"/>
      <c r="B118" s="8" t="s">
        <v>477</v>
      </c>
      <c r="C118" s="8"/>
      <c r="D118" s="8" t="s">
        <v>472</v>
      </c>
      <c r="E118" s="8" t="s">
        <v>478</v>
      </c>
      <c r="F118" s="8" t="s">
        <v>479</v>
      </c>
      <c r="G118" s="6"/>
      <c r="H118" s="13"/>
      <c r="I118" s="15" t="str">
        <f>=G118*J118</f>
      </c>
      <c r="J118" s="15" t="str">
        <f>IF(EXACT(K118,"V"),K$5,0)+IF(EXACT(L118,"V"),L$5,0)+IF(EXACT(M118,"V"),M$5,0)+IF(EXACT(N118,"V"),N$5,0)+IF(EXACT(O118,"V"),O$5,0)+IF(EXACT(P118,"V"),P$5,0)+IF(EXACT(Q118,"V"),Q$5,0)</f>
      </c>
      <c r="K118" s="17"/>
      <c r="L118" s="17"/>
      <c r="M118" s="17"/>
      <c r="N118" s="17"/>
      <c r="O118" s="17"/>
      <c r="P118" s="17"/>
      <c r="Q118" s="17"/>
      <c r="R118" s="15" t="s">
        <v>480</v>
      </c>
    </row>
    <row r="119">
      <c r="A119" s="6"/>
      <c r="B119" s="8" t="s">
        <v>481</v>
      </c>
      <c r="C119" s="8"/>
      <c r="D119" s="8" t="s">
        <v>472</v>
      </c>
      <c r="E119" s="8" t="s">
        <v>482</v>
      </c>
      <c r="F119" s="8" t="s">
        <v>483</v>
      </c>
      <c r="G119" s="6"/>
      <c r="H119" s="13"/>
      <c r="I119" s="15" t="str">
        <f>=G119*J119</f>
      </c>
      <c r="J119" s="15" t="str">
        <f>IF(EXACT(K119,"V"),K$5,0)+IF(EXACT(L119,"V"),L$5,0)+IF(EXACT(M119,"V"),M$5,0)+IF(EXACT(N119,"V"),N$5,0)+IF(EXACT(O119,"V"),O$5,0)+IF(EXACT(P119,"V"),P$5,0)+IF(EXACT(Q119,"V"),Q$5,0)</f>
      </c>
      <c r="K119" s="17"/>
      <c r="L119" s="17"/>
      <c r="M119" s="17"/>
      <c r="N119" s="17"/>
      <c r="O119" s="17"/>
      <c r="P119" s="17"/>
      <c r="Q119" s="17"/>
      <c r="R119" s="15" t="s">
        <v>484</v>
      </c>
    </row>
    <row r="120">
      <c r="A120" s="7" t="s">
        <v>485</v>
      </c>
      <c r="B120" s="9" t="s">
        <v>486</v>
      </c>
      <c r="C120" s="9"/>
      <c r="D120" s="9" t="s">
        <v>487</v>
      </c>
      <c r="E120" s="9" t="s">
        <v>488</v>
      </c>
      <c r="F120" s="9" t="s">
        <v>489</v>
      </c>
      <c r="G120" s="7">
        <v>1</v>
      </c>
      <c r="H120" s="14" t="s">
        <v>490</v>
      </c>
      <c r="I120" s="16" t="str">
        <f>=G120*J120</f>
      </c>
      <c r="J120" s="16" t="str">
        <f>IF(EXACT(K120,"V"),K$5,0)+IF(EXACT(L120,"V"),L$5,0)+IF(EXACT(M120,"V"),M$5,0)+IF(EXACT(N120,"V"),N$5,0)+IF(EXACT(O120,"V"),O$5,0)+IF(EXACT(P120,"V"),P$5,0)+IF(EXACT(Q120,"V"),Q$5,0)</f>
      </c>
      <c r="K120" s="18"/>
      <c r="L120" s="18"/>
      <c r="M120" s="18"/>
      <c r="N120" s="18"/>
      <c r="O120" s="18"/>
      <c r="P120" s="18"/>
      <c r="Q120" s="18"/>
      <c r="R120" s="16" t="s">
        <v>19</v>
      </c>
    </row>
    <row r="121">
      <c r="A121" s="7"/>
      <c r="B121" s="9" t="s">
        <v>491</v>
      </c>
      <c r="C121" s="9"/>
      <c r="D121" s="9" t="s">
        <v>487</v>
      </c>
      <c r="E121" s="9" t="s">
        <v>492</v>
      </c>
      <c r="F121" s="9" t="s">
        <v>493</v>
      </c>
      <c r="G121" s="7"/>
      <c r="H121" s="14"/>
      <c r="I121" s="16" t="str">
        <f>=G121*J121</f>
      </c>
      <c r="J121" s="16" t="str">
        <f>IF(EXACT(K121,"V"),K$5,0)+IF(EXACT(L121,"V"),L$5,0)+IF(EXACT(M121,"V"),M$5,0)+IF(EXACT(N121,"V"),N$5,0)+IF(EXACT(O121,"V"),O$5,0)+IF(EXACT(P121,"V"),P$5,0)+IF(EXACT(Q121,"V"),Q$5,0)</f>
      </c>
      <c r="K121" s="18"/>
      <c r="L121" s="18"/>
      <c r="M121" s="18"/>
      <c r="N121" s="18"/>
      <c r="O121" s="18"/>
      <c r="P121" s="18"/>
      <c r="Q121" s="18"/>
      <c r="R121" s="16" t="s">
        <v>19</v>
      </c>
    </row>
    <row r="122">
      <c r="A122" s="7"/>
      <c r="B122" s="9" t="s">
        <v>494</v>
      </c>
      <c r="C122" s="9"/>
      <c r="D122" s="9" t="s">
        <v>487</v>
      </c>
      <c r="E122" s="9" t="s">
        <v>495</v>
      </c>
      <c r="F122" s="9" t="s">
        <v>496</v>
      </c>
      <c r="G122" s="7"/>
      <c r="H122" s="14"/>
      <c r="I122" s="16" t="str">
        <f>=G122*J122</f>
      </c>
      <c r="J122" s="16" t="str">
        <f>IF(EXACT(K122,"V"),K$5,0)+IF(EXACT(L122,"V"),L$5,0)+IF(EXACT(M122,"V"),M$5,0)+IF(EXACT(N122,"V"),N$5,0)+IF(EXACT(O122,"V"),O$5,0)+IF(EXACT(P122,"V"),P$5,0)+IF(EXACT(Q122,"V"),Q$5,0)</f>
      </c>
      <c r="K122" s="18"/>
      <c r="L122" s="18"/>
      <c r="M122" s="18"/>
      <c r="N122" s="18"/>
      <c r="O122" s="18"/>
      <c r="P122" s="18"/>
      <c r="Q122" s="18"/>
      <c r="R122" s="16" t="s">
        <v>19</v>
      </c>
    </row>
    <row r="123">
      <c r="A123" s="6" t="s">
        <v>497</v>
      </c>
      <c r="B123" s="8" t="s">
        <v>498</v>
      </c>
      <c r="C123" s="8"/>
      <c r="D123" s="8" t="s">
        <v>499</v>
      </c>
      <c r="E123" s="8" t="s">
        <v>482</v>
      </c>
      <c r="F123" s="8" t="s">
        <v>500</v>
      </c>
      <c r="G123" s="6">
        <v>1</v>
      </c>
      <c r="H123" s="13" t="s">
        <v>501</v>
      </c>
      <c r="I123" s="15" t="str">
        <f>=G123*J123</f>
      </c>
      <c r="J123" s="15" t="str">
        <f>IF(EXACT(K123,"V"),K$5,0)+IF(EXACT(L123,"V"),L$5,0)+IF(EXACT(M123,"V"),M$5,0)+IF(EXACT(N123,"V"),N$5,0)+IF(EXACT(O123,"V"),O$5,0)+IF(EXACT(P123,"V"),P$5,0)+IF(EXACT(Q123,"V"),Q$5,0)</f>
      </c>
      <c r="K123" s="17"/>
      <c r="L123" s="17"/>
      <c r="M123" s="17"/>
      <c r="N123" s="17"/>
      <c r="O123" s="17"/>
      <c r="P123" s="17"/>
      <c r="Q123" s="17"/>
      <c r="R123" s="15" t="s">
        <v>502</v>
      </c>
    </row>
    <row r="124">
      <c r="A124" s="6"/>
      <c r="B124" s="8" t="s">
        <v>503</v>
      </c>
      <c r="C124" s="8"/>
      <c r="D124" s="8" t="s">
        <v>499</v>
      </c>
      <c r="E124" s="8" t="s">
        <v>473</v>
      </c>
      <c r="F124" s="8" t="s">
        <v>504</v>
      </c>
      <c r="G124" s="6"/>
      <c r="H124" s="13"/>
      <c r="I124" s="15" t="str">
        <f>=G124*J124</f>
      </c>
      <c r="J124" s="15" t="str">
        <f>IF(EXACT(K124,"V"),K$5,0)+IF(EXACT(L124,"V"),L$5,0)+IF(EXACT(M124,"V"),M$5,0)+IF(EXACT(N124,"V"),N$5,0)+IF(EXACT(O124,"V"),O$5,0)+IF(EXACT(P124,"V"),P$5,0)+IF(EXACT(Q124,"V"),Q$5,0)</f>
      </c>
      <c r="K124" s="17"/>
      <c r="L124" s="17"/>
      <c r="M124" s="17"/>
      <c r="N124" s="17"/>
      <c r="O124" s="17"/>
      <c r="P124" s="17"/>
      <c r="Q124" s="17"/>
      <c r="R124" s="15" t="s">
        <v>505</v>
      </c>
    </row>
    <row r="125">
      <c r="A125" s="7" t="s">
        <v>506</v>
      </c>
      <c r="B125" s="9" t="s">
        <v>507</v>
      </c>
      <c r="C125" s="9"/>
      <c r="D125" s="9" t="s">
        <v>508</v>
      </c>
      <c r="E125" s="9" t="s">
        <v>488</v>
      </c>
      <c r="F125" s="9" t="s">
        <v>509</v>
      </c>
      <c r="G125" s="7">
        <v>2</v>
      </c>
      <c r="H125" s="14" t="s">
        <v>510</v>
      </c>
      <c r="I125" s="16" t="str">
        <f>=G125*J125</f>
      </c>
      <c r="J125" s="16" t="str">
        <f>IF(EXACT(K125,"V"),K$5,0)+IF(EXACT(L125,"V"),L$5,0)+IF(EXACT(M125,"V"),M$5,0)+IF(EXACT(N125,"V"),N$5,0)+IF(EXACT(O125,"V"),O$5,0)+IF(EXACT(P125,"V"),P$5,0)+IF(EXACT(Q125,"V"),Q$5,0)</f>
      </c>
      <c r="K125" s="18"/>
      <c r="L125" s="18"/>
      <c r="M125" s="18"/>
      <c r="N125" s="18"/>
      <c r="O125" s="18"/>
      <c r="P125" s="18"/>
      <c r="Q125" s="18"/>
      <c r="R125" s="16" t="s">
        <v>19</v>
      </c>
    </row>
    <row r="126">
      <c r="A126" s="6" t="s">
        <v>511</v>
      </c>
      <c r="B126" s="8" t="s">
        <v>512</v>
      </c>
      <c r="C126" s="8"/>
      <c r="D126" s="8" t="s">
        <v>513</v>
      </c>
      <c r="E126" s="8" t="s">
        <v>473</v>
      </c>
      <c r="F126" s="8" t="s">
        <v>514</v>
      </c>
      <c r="G126" s="6">
        <v>1</v>
      </c>
      <c r="H126" s="13" t="s">
        <v>515</v>
      </c>
      <c r="I126" s="15" t="str">
        <f>=G126*J126</f>
      </c>
      <c r="J126" s="15" t="str">
        <f>IF(EXACT(K126,"V"),K$5,0)+IF(EXACT(L126,"V"),L$5,0)+IF(EXACT(M126,"V"),M$5,0)+IF(EXACT(N126,"V"),N$5,0)+IF(EXACT(O126,"V"),O$5,0)+IF(EXACT(P126,"V"),P$5,0)+IF(EXACT(Q126,"V"),Q$5,0)</f>
      </c>
      <c r="K126" s="17"/>
      <c r="L126" s="17"/>
      <c r="M126" s="17"/>
      <c r="N126" s="17"/>
      <c r="O126" s="17"/>
      <c r="P126" s="17"/>
      <c r="Q126" s="17"/>
      <c r="R126" s="15" t="s">
        <v>516</v>
      </c>
    </row>
    <row r="127">
      <c r="A127" s="6"/>
      <c r="B127" s="8" t="s">
        <v>517</v>
      </c>
      <c r="C127" s="8"/>
      <c r="D127" s="8" t="s">
        <v>513</v>
      </c>
      <c r="E127" s="8" t="s">
        <v>482</v>
      </c>
      <c r="F127" s="8" t="s">
        <v>518</v>
      </c>
      <c r="G127" s="6"/>
      <c r="H127" s="13"/>
      <c r="I127" s="15" t="str">
        <f>=G127*J127</f>
      </c>
      <c r="J127" s="15" t="str">
        <f>IF(EXACT(K127,"V"),K$5,0)+IF(EXACT(L127,"V"),L$5,0)+IF(EXACT(M127,"V"),M$5,0)+IF(EXACT(N127,"V"),N$5,0)+IF(EXACT(O127,"V"),O$5,0)+IF(EXACT(P127,"V"),P$5,0)+IF(EXACT(Q127,"V"),Q$5,0)</f>
      </c>
      <c r="K127" s="17"/>
      <c r="L127" s="17"/>
      <c r="M127" s="17"/>
      <c r="N127" s="17"/>
      <c r="O127" s="17"/>
      <c r="P127" s="17"/>
      <c r="Q127" s="17"/>
      <c r="R127" s="15" t="s">
        <v>502</v>
      </c>
    </row>
    <row r="128">
      <c r="A128" s="7" t="s">
        <v>519</v>
      </c>
      <c r="B128" s="9" t="s">
        <v>520</v>
      </c>
      <c r="C128" s="9"/>
      <c r="D128" s="9" t="s">
        <v>521</v>
      </c>
      <c r="E128" s="9" t="s">
        <v>473</v>
      </c>
      <c r="F128" s="9" t="s">
        <v>522</v>
      </c>
      <c r="G128" s="7">
        <v>1</v>
      </c>
      <c r="H128" s="14" t="s">
        <v>523</v>
      </c>
      <c r="I128" s="16" t="str">
        <f>=G128*J128</f>
      </c>
      <c r="J128" s="16" t="str">
        <f>IF(EXACT(K128,"V"),K$5,0)+IF(EXACT(L128,"V"),L$5,0)+IF(EXACT(M128,"V"),M$5,0)+IF(EXACT(N128,"V"),N$5,0)+IF(EXACT(O128,"V"),O$5,0)+IF(EXACT(P128,"V"),P$5,0)+IF(EXACT(Q128,"V"),Q$5,0)</f>
      </c>
      <c r="K128" s="18"/>
      <c r="L128" s="18"/>
      <c r="M128" s="18"/>
      <c r="N128" s="18"/>
      <c r="O128" s="18"/>
      <c r="P128" s="18"/>
      <c r="Q128" s="18"/>
      <c r="R128" s="16" t="s">
        <v>524</v>
      </c>
    </row>
    <row r="129">
      <c r="A129" s="7"/>
      <c r="B129" s="9" t="s">
        <v>525</v>
      </c>
      <c r="C129" s="9"/>
      <c r="D129" s="9" t="s">
        <v>521</v>
      </c>
      <c r="E129" s="9" t="s">
        <v>478</v>
      </c>
      <c r="F129" s="9" t="s">
        <v>526</v>
      </c>
      <c r="G129" s="7"/>
      <c r="H129" s="14"/>
      <c r="I129" s="16" t="str">
        <f>=G129*J129</f>
      </c>
      <c r="J129" s="16" t="str">
        <f>IF(EXACT(K129,"V"),K$5,0)+IF(EXACT(L129,"V"),L$5,0)+IF(EXACT(M129,"V"),M$5,0)+IF(EXACT(N129,"V"),N$5,0)+IF(EXACT(O129,"V"),O$5,0)+IF(EXACT(P129,"V"),P$5,0)+IF(EXACT(Q129,"V"),Q$5,0)</f>
      </c>
      <c r="K129" s="18"/>
      <c r="L129" s="18"/>
      <c r="M129" s="18"/>
      <c r="N129" s="18"/>
      <c r="O129" s="18"/>
      <c r="P129" s="18"/>
      <c r="Q129" s="18"/>
      <c r="R129" s="16" t="s">
        <v>527</v>
      </c>
    </row>
    <row r="130">
      <c r="A130" s="7"/>
      <c r="B130" s="9" t="s">
        <v>528</v>
      </c>
      <c r="C130" s="9"/>
      <c r="D130" s="9" t="s">
        <v>521</v>
      </c>
      <c r="E130" s="9" t="s">
        <v>529</v>
      </c>
      <c r="F130" s="9" t="s">
        <v>530</v>
      </c>
      <c r="G130" s="7"/>
      <c r="H130" s="14"/>
      <c r="I130" s="16" t="str">
        <f>=G130*J130</f>
      </c>
      <c r="J130" s="16" t="str">
        <f>IF(EXACT(K130,"V"),K$5,0)+IF(EXACT(L130,"V"),L$5,0)+IF(EXACT(M130,"V"),M$5,0)+IF(EXACT(N130,"V"),N$5,0)+IF(EXACT(O130,"V"),O$5,0)+IF(EXACT(P130,"V"),P$5,0)+IF(EXACT(Q130,"V"),Q$5,0)</f>
      </c>
      <c r="K130" s="18"/>
      <c r="L130" s="18"/>
      <c r="M130" s="18"/>
      <c r="N130" s="18"/>
      <c r="O130" s="18"/>
      <c r="P130" s="18"/>
      <c r="Q130" s="18"/>
      <c r="R130" s="16" t="s">
        <v>527</v>
      </c>
    </row>
    <row r="131">
      <c r="A131" s="6" t="s">
        <v>531</v>
      </c>
      <c r="B131" s="8" t="s">
        <v>532</v>
      </c>
      <c r="C131" s="8"/>
      <c r="D131" s="8" t="s">
        <v>533</v>
      </c>
      <c r="E131" s="8" t="s">
        <v>473</v>
      </c>
      <c r="F131" s="8" t="s">
        <v>534</v>
      </c>
      <c r="G131" s="6">
        <v>1</v>
      </c>
      <c r="H131" s="13" t="s">
        <v>535</v>
      </c>
      <c r="I131" s="15" t="str">
        <f>=G131*J131</f>
      </c>
      <c r="J131" s="15" t="str">
        <f>IF(EXACT(K131,"V"),K$5,0)+IF(EXACT(L131,"V"),L$5,0)+IF(EXACT(M131,"V"),M$5,0)+IF(EXACT(N131,"V"),N$5,0)+IF(EXACT(O131,"V"),O$5,0)+IF(EXACT(P131,"V"),P$5,0)+IF(EXACT(Q131,"V"),Q$5,0)</f>
      </c>
      <c r="K131" s="17"/>
      <c r="L131" s="17"/>
      <c r="M131" s="17"/>
      <c r="N131" s="17"/>
      <c r="O131" s="17"/>
      <c r="P131" s="17"/>
      <c r="Q131" s="17"/>
      <c r="R131" s="15" t="s">
        <v>536</v>
      </c>
    </row>
    <row r="132">
      <c r="A132" s="6"/>
      <c r="B132" s="8" t="s">
        <v>537</v>
      </c>
      <c r="C132" s="8"/>
      <c r="D132" s="8" t="s">
        <v>513</v>
      </c>
      <c r="E132" s="8" t="s">
        <v>482</v>
      </c>
      <c r="F132" s="8" t="s">
        <v>538</v>
      </c>
      <c r="G132" s="6"/>
      <c r="H132" s="13"/>
      <c r="I132" s="15" t="str">
        <f>=G132*J132</f>
      </c>
      <c r="J132" s="15" t="str">
        <f>IF(EXACT(K132,"V"),K$5,0)+IF(EXACT(L132,"V"),L$5,0)+IF(EXACT(M132,"V"),M$5,0)+IF(EXACT(N132,"V"),N$5,0)+IF(EXACT(O132,"V"),O$5,0)+IF(EXACT(P132,"V"),P$5,0)+IF(EXACT(Q132,"V"),Q$5,0)</f>
      </c>
      <c r="K132" s="17"/>
      <c r="L132" s="17"/>
      <c r="M132" s="17"/>
      <c r="N132" s="17"/>
      <c r="O132" s="17"/>
      <c r="P132" s="17"/>
      <c r="Q132" s="17"/>
      <c r="R132" s="15" t="s">
        <v>484</v>
      </c>
    </row>
    <row r="133">
      <c r="A133" s="7" t="s">
        <v>539</v>
      </c>
      <c r="B133" s="9" t="s">
        <v>540</v>
      </c>
      <c r="C133" s="9"/>
      <c r="D133" s="9" t="s">
        <v>541</v>
      </c>
      <c r="E133" s="9" t="s">
        <v>542</v>
      </c>
      <c r="F133" s="9" t="s">
        <v>543</v>
      </c>
      <c r="G133" s="7">
        <v>1</v>
      </c>
      <c r="H133" s="14" t="s">
        <v>544</v>
      </c>
      <c r="I133" s="16" t="str">
        <f>=G133*J133</f>
      </c>
      <c r="J133" s="16" t="str">
        <f>IF(EXACT(K133,"V"),K$5,0)+IF(EXACT(L133,"V"),L$5,0)+IF(EXACT(M133,"V"),M$5,0)+IF(EXACT(N133,"V"),N$5,0)+IF(EXACT(O133,"V"),O$5,0)+IF(EXACT(P133,"V"),P$5,0)+IF(EXACT(Q133,"V"),Q$5,0)</f>
      </c>
      <c r="K133" s="18"/>
      <c r="L133" s="18"/>
      <c r="M133" s="18"/>
      <c r="N133" s="18"/>
      <c r="O133" s="18"/>
      <c r="P133" s="18"/>
      <c r="Q133" s="18"/>
      <c r="R133" s="16" t="s">
        <v>19</v>
      </c>
    </row>
    <row r="134">
      <c r="A134" s="7"/>
      <c r="B134" s="9" t="s">
        <v>545</v>
      </c>
      <c r="C134" s="9"/>
      <c r="D134" s="9" t="s">
        <v>541</v>
      </c>
      <c r="E134" s="9" t="s">
        <v>495</v>
      </c>
      <c r="F134" s="9" t="s">
        <v>546</v>
      </c>
      <c r="G134" s="7"/>
      <c r="H134" s="14"/>
      <c r="I134" s="16" t="str">
        <f>=G134*J134</f>
      </c>
      <c r="J134" s="16" t="str">
        <f>IF(EXACT(K134,"V"),K$5,0)+IF(EXACT(L134,"V"),L$5,0)+IF(EXACT(M134,"V"),M$5,0)+IF(EXACT(N134,"V"),N$5,0)+IF(EXACT(O134,"V"),O$5,0)+IF(EXACT(P134,"V"),P$5,0)+IF(EXACT(Q134,"V"),Q$5,0)</f>
      </c>
      <c r="K134" s="18"/>
      <c r="L134" s="18"/>
      <c r="M134" s="18"/>
      <c r="N134" s="18"/>
      <c r="O134" s="18"/>
      <c r="P134" s="18"/>
      <c r="Q134" s="18"/>
      <c r="R134" s="16" t="s">
        <v>19</v>
      </c>
    </row>
    <row r="135">
      <c r="A135" s="6" t="s">
        <v>547</v>
      </c>
      <c r="B135" s="8" t="s">
        <v>548</v>
      </c>
      <c r="C135" s="8"/>
      <c r="D135" s="8" t="s">
        <v>549</v>
      </c>
      <c r="E135" s="8" t="s">
        <v>550</v>
      </c>
      <c r="F135" s="8" t="s">
        <v>551</v>
      </c>
      <c r="G135" s="6">
        <v>1</v>
      </c>
      <c r="H135" s="13" t="s">
        <v>552</v>
      </c>
      <c r="I135" s="15" t="str">
        <f>=G135*J135</f>
      </c>
      <c r="J135" s="15" t="str">
        <f>IF(EXACT(K135,"V"),K$5,0)+IF(EXACT(L135,"V"),L$5,0)+IF(EXACT(M135,"V"),M$5,0)+IF(EXACT(N135,"V"),N$5,0)+IF(EXACT(O135,"V"),O$5,0)+IF(EXACT(P135,"V"),P$5,0)+IF(EXACT(Q135,"V"),Q$5,0)</f>
      </c>
      <c r="K135" s="17"/>
      <c r="L135" s="17"/>
      <c r="M135" s="17"/>
      <c r="N135" s="17"/>
      <c r="O135" s="17"/>
      <c r="P135" s="17"/>
      <c r="Q135" s="17"/>
      <c r="R135" s="15" t="s">
        <v>553</v>
      </c>
    </row>
    <row r="136">
      <c r="A136" s="6"/>
      <c r="B136" s="8" t="s">
        <v>554</v>
      </c>
      <c r="C136" s="8"/>
      <c r="D136" s="8" t="s">
        <v>549</v>
      </c>
      <c r="E136" s="8" t="s">
        <v>473</v>
      </c>
      <c r="F136" s="8" t="s">
        <v>555</v>
      </c>
      <c r="G136" s="6"/>
      <c r="H136" s="13"/>
      <c r="I136" s="15" t="str">
        <f>=G136*J136</f>
      </c>
      <c r="J136" s="15" t="str">
        <f>IF(EXACT(K136,"V"),K$5,0)+IF(EXACT(L136,"V"),L$5,0)+IF(EXACT(M136,"V"),M$5,0)+IF(EXACT(N136,"V"),N$5,0)+IF(EXACT(O136,"V"),O$5,0)+IF(EXACT(P136,"V"),P$5,0)+IF(EXACT(Q136,"V"),Q$5,0)</f>
      </c>
      <c r="K136" s="17"/>
      <c r="L136" s="17"/>
      <c r="M136" s="17"/>
      <c r="N136" s="17"/>
      <c r="O136" s="17"/>
      <c r="P136" s="17"/>
      <c r="Q136" s="17"/>
      <c r="R136" s="15" t="s">
        <v>556</v>
      </c>
    </row>
    <row r="137">
      <c r="A137" s="6"/>
      <c r="B137" s="8" t="s">
        <v>557</v>
      </c>
      <c r="C137" s="8"/>
      <c r="D137" s="8" t="s">
        <v>549</v>
      </c>
      <c r="E137" s="8" t="s">
        <v>558</v>
      </c>
      <c r="F137" s="8" t="s">
        <v>559</v>
      </c>
      <c r="G137" s="6"/>
      <c r="H137" s="13"/>
      <c r="I137" s="15" t="str">
        <f>=G137*J137</f>
      </c>
      <c r="J137" s="15" t="str">
        <f>IF(EXACT(K137,"V"),K$5,0)+IF(EXACT(L137,"V"),L$5,0)+IF(EXACT(M137,"V"),M$5,0)+IF(EXACT(N137,"V"),N$5,0)+IF(EXACT(O137,"V"),O$5,0)+IF(EXACT(P137,"V"),P$5,0)+IF(EXACT(Q137,"V"),Q$5,0)</f>
      </c>
      <c r="K137" s="17"/>
      <c r="L137" s="17"/>
      <c r="M137" s="17"/>
      <c r="N137" s="17"/>
      <c r="O137" s="17"/>
      <c r="P137" s="17"/>
      <c r="Q137" s="17"/>
      <c r="R137" s="15" t="s">
        <v>560</v>
      </c>
    </row>
    <row r="138">
      <c r="A138" s="6"/>
      <c r="B138" s="8" t="s">
        <v>561</v>
      </c>
      <c r="C138" s="8"/>
      <c r="D138" s="8" t="s">
        <v>549</v>
      </c>
      <c r="E138" s="8" t="s">
        <v>529</v>
      </c>
      <c r="F138" s="8" t="s">
        <v>562</v>
      </c>
      <c r="G138" s="6"/>
      <c r="H138" s="13"/>
      <c r="I138" s="15" t="str">
        <f>=G138*J138</f>
      </c>
      <c r="J138" s="15" t="str">
        <f>IF(EXACT(K138,"V"),K$5,0)+IF(EXACT(L138,"V"),L$5,0)+IF(EXACT(M138,"V"),M$5,0)+IF(EXACT(N138,"V"),N$5,0)+IF(EXACT(O138,"V"),O$5,0)+IF(EXACT(P138,"V"),P$5,0)+IF(EXACT(Q138,"V"),Q$5,0)</f>
      </c>
      <c r="K138" s="17"/>
      <c r="L138" s="17"/>
      <c r="M138" s="17"/>
      <c r="N138" s="17"/>
      <c r="O138" s="17"/>
      <c r="P138" s="17"/>
      <c r="Q138" s="17"/>
      <c r="R138" s="15" t="s">
        <v>560</v>
      </c>
    </row>
    <row r="139">
      <c r="A139" s="7" t="s">
        <v>563</v>
      </c>
      <c r="B139" s="9" t="s">
        <v>564</v>
      </c>
      <c r="C139" s="9"/>
      <c r="D139" s="9" t="s">
        <v>565</v>
      </c>
      <c r="E139" s="9" t="s">
        <v>566</v>
      </c>
      <c r="F139" s="9" t="s">
        <v>567</v>
      </c>
      <c r="G139" s="7">
        <v>4</v>
      </c>
      <c r="H139" s="14" t="s">
        <v>568</v>
      </c>
      <c r="I139" s="16" t="str">
        <f>=G139*J139</f>
      </c>
      <c r="J139" s="16" t="str">
        <f>IF(EXACT(K139,"V"),K$5,0)+IF(EXACT(L139,"V"),L$5,0)+IF(EXACT(M139,"V"),M$5,0)+IF(EXACT(N139,"V"),N$5,0)+IF(EXACT(O139,"V"),O$5,0)+IF(EXACT(P139,"V"),P$5,0)+IF(EXACT(Q139,"V"),Q$5,0)</f>
      </c>
      <c r="K139" s="18"/>
      <c r="L139" s="18"/>
      <c r="M139" s="18"/>
      <c r="N139" s="18"/>
      <c r="O139" s="18"/>
      <c r="P139" s="18"/>
      <c r="Q139" s="18"/>
      <c r="R139" s="16" t="s">
        <v>569</v>
      </c>
    </row>
    <row r="140">
      <c r="A140" s="7"/>
      <c r="B140" s="9" t="s">
        <v>570</v>
      </c>
      <c r="C140" s="9"/>
      <c r="D140" s="9" t="s">
        <v>571</v>
      </c>
      <c r="E140" s="9" t="s">
        <v>572</v>
      </c>
      <c r="F140" s="9" t="s">
        <v>573</v>
      </c>
      <c r="G140" s="7"/>
      <c r="H140" s="14"/>
      <c r="I140" s="16" t="str">
        <f>=G140*J140</f>
      </c>
      <c r="J140" s="16" t="str">
        <f>IF(EXACT(K140,"V"),K$5,0)+IF(EXACT(L140,"V"),L$5,0)+IF(EXACT(M140,"V"),M$5,0)+IF(EXACT(N140,"V"),N$5,0)+IF(EXACT(O140,"V"),O$5,0)+IF(EXACT(P140,"V"),P$5,0)+IF(EXACT(Q140,"V"),Q$5,0)</f>
      </c>
      <c r="K140" s="18"/>
      <c r="L140" s="18"/>
      <c r="M140" s="18"/>
      <c r="N140" s="18"/>
      <c r="O140" s="18"/>
      <c r="P140" s="18"/>
      <c r="Q140" s="18"/>
      <c r="R140" s="16" t="s">
        <v>574</v>
      </c>
    </row>
    <row r="141">
      <c r="A141" s="7"/>
      <c r="B141" s="9" t="s">
        <v>575</v>
      </c>
      <c r="C141" s="9"/>
      <c r="D141" s="9" t="s">
        <v>571</v>
      </c>
      <c r="E141" s="9" t="s">
        <v>529</v>
      </c>
      <c r="F141" s="9" t="s">
        <v>576</v>
      </c>
      <c r="G141" s="7"/>
      <c r="H141" s="14"/>
      <c r="I141" s="16" t="str">
        <f>=G141*J141</f>
      </c>
      <c r="J141" s="16" t="str">
        <f>IF(EXACT(K141,"V"),K$5,0)+IF(EXACT(L141,"V"),L$5,0)+IF(EXACT(M141,"V"),M$5,0)+IF(EXACT(N141,"V"),N$5,0)+IF(EXACT(O141,"V"),O$5,0)+IF(EXACT(P141,"V"),P$5,0)+IF(EXACT(Q141,"V"),Q$5,0)</f>
      </c>
      <c r="K141" s="18"/>
      <c r="L141" s="18"/>
      <c r="M141" s="18"/>
      <c r="N141" s="18"/>
      <c r="O141" s="18"/>
      <c r="P141" s="18"/>
      <c r="Q141" s="18"/>
      <c r="R141" s="16" t="s">
        <v>577</v>
      </c>
    </row>
    <row r="142">
      <c r="A142" s="6" t="s">
        <v>578</v>
      </c>
      <c r="B142" s="8" t="s">
        <v>579</v>
      </c>
      <c r="C142" s="8"/>
      <c r="D142" s="8" t="s">
        <v>580</v>
      </c>
      <c r="E142" s="8" t="s">
        <v>473</v>
      </c>
      <c r="F142" s="8" t="s">
        <v>581</v>
      </c>
      <c r="G142" s="6">
        <v>2</v>
      </c>
      <c r="H142" s="13" t="s">
        <v>582</v>
      </c>
      <c r="I142" s="15" t="str">
        <f>=G142*J142</f>
      </c>
      <c r="J142" s="15" t="str">
        <f>IF(EXACT(K142,"V"),K$5,0)+IF(EXACT(L142,"V"),L$5,0)+IF(EXACT(M142,"V"),M$5,0)+IF(EXACT(N142,"V"),N$5,0)+IF(EXACT(O142,"V"),O$5,0)+IF(EXACT(P142,"V"),P$5,0)+IF(EXACT(Q142,"V"),Q$5,0)</f>
      </c>
      <c r="K142" s="17"/>
      <c r="L142" s="17"/>
      <c r="M142" s="17"/>
      <c r="N142" s="17"/>
      <c r="O142" s="17"/>
      <c r="P142" s="17"/>
      <c r="Q142" s="17"/>
      <c r="R142" s="15" t="s">
        <v>583</v>
      </c>
    </row>
    <row r="143">
      <c r="A143" s="6"/>
      <c r="B143" s="8" t="s">
        <v>584</v>
      </c>
      <c r="C143" s="8"/>
      <c r="D143" s="8" t="s">
        <v>580</v>
      </c>
      <c r="E143" s="8" t="s">
        <v>482</v>
      </c>
      <c r="F143" s="8" t="s">
        <v>585</v>
      </c>
      <c r="G143" s="6"/>
      <c r="H143" s="13"/>
      <c r="I143" s="15" t="str">
        <f>=G143*J143</f>
      </c>
      <c r="J143" s="15" t="str">
        <f>IF(EXACT(K143,"V"),K$5,0)+IF(EXACT(L143,"V"),L$5,0)+IF(EXACT(M143,"V"),M$5,0)+IF(EXACT(N143,"V"),N$5,0)+IF(EXACT(O143,"V"),O$5,0)+IF(EXACT(P143,"V"),P$5,0)+IF(EXACT(Q143,"V"),Q$5,0)</f>
      </c>
      <c r="K143" s="17"/>
      <c r="L143" s="17"/>
      <c r="M143" s="17"/>
      <c r="N143" s="17"/>
      <c r="O143" s="17"/>
      <c r="P143" s="17"/>
      <c r="Q143" s="17"/>
      <c r="R143" s="15" t="s">
        <v>586</v>
      </c>
    </row>
    <row r="144">
      <c r="A144" s="6"/>
      <c r="B144" s="8" t="s">
        <v>587</v>
      </c>
      <c r="C144" s="8"/>
      <c r="D144" s="8" t="s">
        <v>580</v>
      </c>
      <c r="E144" s="8" t="s">
        <v>550</v>
      </c>
      <c r="F144" s="8" t="s">
        <v>588</v>
      </c>
      <c r="G144" s="6"/>
      <c r="H144" s="13"/>
      <c r="I144" s="15" t="str">
        <f>=G144*J144</f>
      </c>
      <c r="J144" s="15" t="str">
        <f>IF(EXACT(K144,"V"),K$5,0)+IF(EXACT(L144,"V"),L$5,0)+IF(EXACT(M144,"V"),M$5,0)+IF(EXACT(N144,"V"),N$5,0)+IF(EXACT(O144,"V"),O$5,0)+IF(EXACT(P144,"V"),P$5,0)+IF(EXACT(Q144,"V"),Q$5,0)</f>
      </c>
      <c r="K144" s="17"/>
      <c r="L144" s="17"/>
      <c r="M144" s="17"/>
      <c r="N144" s="17"/>
      <c r="O144" s="17"/>
      <c r="P144" s="17"/>
      <c r="Q144" s="17"/>
      <c r="R144" s="15" t="s">
        <v>589</v>
      </c>
    </row>
    <row r="145">
      <c r="A145" s="7" t="s">
        <v>590</v>
      </c>
      <c r="B145" s="9" t="s">
        <v>591</v>
      </c>
      <c r="C145" s="9"/>
      <c r="D145" s="9" t="s">
        <v>592</v>
      </c>
      <c r="E145" s="9" t="s">
        <v>593</v>
      </c>
      <c r="F145" s="9" t="s">
        <v>594</v>
      </c>
      <c r="G145" s="7">
        <v>1</v>
      </c>
      <c r="H145" s="14" t="s">
        <v>595</v>
      </c>
      <c r="I145" s="16" t="str">
        <f>=G145*J145</f>
      </c>
      <c r="J145" s="16" t="str">
        <f>IF(EXACT(K145,"V"),K$5,0)+IF(EXACT(L145,"V"),L$5,0)+IF(EXACT(M145,"V"),M$5,0)+IF(EXACT(N145,"V"),N$5,0)+IF(EXACT(O145,"V"),O$5,0)+IF(EXACT(P145,"V"),P$5,0)+IF(EXACT(Q145,"V"),Q$5,0)</f>
      </c>
      <c r="K145" s="18"/>
      <c r="L145" s="18"/>
      <c r="M145" s="18"/>
      <c r="N145" s="18"/>
      <c r="O145" s="18"/>
      <c r="P145" s="18"/>
      <c r="Q145" s="18"/>
      <c r="R145" s="16" t="s">
        <v>19</v>
      </c>
    </row>
    <row r="146">
      <c r="A146" s="6" t="s">
        <v>596</v>
      </c>
      <c r="B146" s="8" t="s">
        <v>597</v>
      </c>
      <c r="C146" s="8"/>
      <c r="D146" s="8" t="s">
        <v>598</v>
      </c>
      <c r="E146" s="8" t="s">
        <v>599</v>
      </c>
      <c r="F146" s="8" t="s">
        <v>600</v>
      </c>
      <c r="G146" s="6">
        <v>1</v>
      </c>
      <c r="H146" s="13" t="s">
        <v>601</v>
      </c>
      <c r="I146" s="15" t="str">
        <f>=G146*J146</f>
      </c>
      <c r="J146" s="15" t="str">
        <f>IF(EXACT(K146,"V"),K$5,0)+IF(EXACT(L146,"V"),L$5,0)+IF(EXACT(M146,"V"),M$5,0)+IF(EXACT(N146,"V"),N$5,0)+IF(EXACT(O146,"V"),O$5,0)+IF(EXACT(P146,"V"),P$5,0)+IF(EXACT(Q146,"V"),Q$5,0)</f>
      </c>
      <c r="K146" s="17"/>
      <c r="L146" s="17"/>
      <c r="M146" s="17"/>
      <c r="N146" s="17"/>
      <c r="O146" s="17"/>
      <c r="P146" s="17"/>
      <c r="Q146" s="17"/>
      <c r="R146" s="15" t="s">
        <v>19</v>
      </c>
    </row>
    <row r="147">
      <c r="A147" s="7" t="s">
        <v>602</v>
      </c>
      <c r="B147" s="9" t="s">
        <v>603</v>
      </c>
      <c r="C147" s="9"/>
      <c r="D147" s="9" t="s">
        <v>604</v>
      </c>
      <c r="E147" s="9" t="s">
        <v>605</v>
      </c>
      <c r="F147" s="9" t="s">
        <v>606</v>
      </c>
      <c r="G147" s="7">
        <v>1</v>
      </c>
      <c r="H147" s="14" t="s">
        <v>607</v>
      </c>
      <c r="I147" s="16" t="str">
        <f>=G147*J147</f>
      </c>
      <c r="J147" s="16" t="str">
        <f>IF(EXACT(K147,"V"),K$5,0)+IF(EXACT(L147,"V"),L$5,0)+IF(EXACT(M147,"V"),M$5,0)+IF(EXACT(N147,"V"),N$5,0)+IF(EXACT(O147,"V"),O$5,0)+IF(EXACT(P147,"V"),P$5,0)+IF(EXACT(Q147,"V"),Q$5,0)</f>
      </c>
      <c r="K147" s="18"/>
      <c r="L147" s="18"/>
      <c r="M147" s="18"/>
      <c r="N147" s="18"/>
      <c r="O147" s="18"/>
      <c r="P147" s="18"/>
      <c r="Q147" s="18"/>
      <c r="R147" s="16" t="s">
        <v>19</v>
      </c>
    </row>
    <row r="148">
      <c r="A148" s="7"/>
      <c r="B148" s="9" t="s">
        <v>608</v>
      </c>
      <c r="C148" s="9"/>
      <c r="D148" s="9" t="s">
        <v>609</v>
      </c>
      <c r="E148" s="9" t="s">
        <v>610</v>
      </c>
      <c r="F148" s="9" t="s">
        <v>611</v>
      </c>
      <c r="G148" s="7"/>
      <c r="H148" s="14"/>
      <c r="I148" s="16" t="str">
        <f>=G148*J148</f>
      </c>
      <c r="J148" s="16" t="str">
        <f>IF(EXACT(K148,"V"),K$5,0)+IF(EXACT(L148,"V"),L$5,0)+IF(EXACT(M148,"V"),M$5,0)+IF(EXACT(N148,"V"),N$5,0)+IF(EXACT(O148,"V"),O$5,0)+IF(EXACT(P148,"V"),P$5,0)+IF(EXACT(Q148,"V"),Q$5,0)</f>
      </c>
      <c r="K148" s="18"/>
      <c r="L148" s="18"/>
      <c r="M148" s="18"/>
      <c r="N148" s="18"/>
      <c r="O148" s="18"/>
      <c r="P148" s="18"/>
      <c r="Q148" s="18"/>
      <c r="R148" s="16" t="s">
        <v>19</v>
      </c>
    </row>
    <row r="149">
      <c r="A149" s="7"/>
      <c r="B149" s="9" t="s">
        <v>612</v>
      </c>
      <c r="C149" s="9"/>
      <c r="D149" s="9" t="s">
        <v>613</v>
      </c>
      <c r="E149" s="9" t="s">
        <v>614</v>
      </c>
      <c r="F149" s="9" t="s">
        <v>615</v>
      </c>
      <c r="G149" s="7"/>
      <c r="H149" s="14"/>
      <c r="I149" s="16" t="str">
        <f>=G149*J149</f>
      </c>
      <c r="J149" s="16" t="str">
        <f>IF(EXACT(K149,"V"),K$5,0)+IF(EXACT(L149,"V"),L$5,0)+IF(EXACT(M149,"V"),M$5,0)+IF(EXACT(N149,"V"),N$5,0)+IF(EXACT(O149,"V"),O$5,0)+IF(EXACT(P149,"V"),P$5,0)+IF(EXACT(Q149,"V"),Q$5,0)</f>
      </c>
      <c r="K149" s="18"/>
      <c r="L149" s="18"/>
      <c r="M149" s="18"/>
      <c r="N149" s="18"/>
      <c r="O149" s="18"/>
      <c r="P149" s="18"/>
      <c r="Q149" s="18"/>
      <c r="R149" s="16" t="s">
        <v>19</v>
      </c>
    </row>
    <row r="150">
      <c r="A150" s="7"/>
      <c r="B150" s="9" t="s">
        <v>616</v>
      </c>
      <c r="C150" s="9"/>
      <c r="D150" s="9" t="s">
        <v>613</v>
      </c>
      <c r="E150" s="9" t="s">
        <v>617</v>
      </c>
      <c r="F150" s="9" t="s">
        <v>618</v>
      </c>
      <c r="G150" s="7"/>
      <c r="H150" s="14"/>
      <c r="I150" s="16" t="str">
        <f>=G150*J150</f>
      </c>
      <c r="J150" s="16" t="str">
        <f>IF(EXACT(K150,"V"),K$5,0)+IF(EXACT(L150,"V"),L$5,0)+IF(EXACT(M150,"V"),M$5,0)+IF(EXACT(N150,"V"),N$5,0)+IF(EXACT(O150,"V"),O$5,0)+IF(EXACT(P150,"V"),P$5,0)+IF(EXACT(Q150,"V"),Q$5,0)</f>
      </c>
      <c r="K150" s="18"/>
      <c r="L150" s="18"/>
      <c r="M150" s="18"/>
      <c r="N150" s="18"/>
      <c r="O150" s="18"/>
      <c r="P150" s="18"/>
      <c r="Q150" s="18"/>
      <c r="R150" s="16" t="s">
        <v>19</v>
      </c>
    </row>
    <row r="151">
      <c r="A151" s="6" t="s">
        <v>619</v>
      </c>
      <c r="B151" s="8" t="s">
        <v>620</v>
      </c>
      <c r="C151" s="8"/>
      <c r="D151" s="8" t="s">
        <v>621</v>
      </c>
      <c r="E151" s="8" t="s">
        <v>622</v>
      </c>
      <c r="F151" s="8" t="s">
        <v>623</v>
      </c>
      <c r="G151" s="6">
        <v>8</v>
      </c>
      <c r="H151" s="13" t="s">
        <v>624</v>
      </c>
      <c r="I151" s="15" t="str">
        <f>=G151*J151</f>
      </c>
      <c r="J151" s="15" t="str">
        <f>IF(EXACT(K151,"V"),K$5,0)+IF(EXACT(L151,"V"),L$5,0)+IF(EXACT(M151,"V"),M$5,0)+IF(EXACT(N151,"V"),N$5,0)+IF(EXACT(O151,"V"),O$5,0)+IF(EXACT(P151,"V"),P$5,0)+IF(EXACT(Q151,"V"),Q$5,0)</f>
      </c>
      <c r="K151" s="17"/>
      <c r="L151" s="17"/>
      <c r="M151" s="17"/>
      <c r="N151" s="17"/>
      <c r="O151" s="17"/>
      <c r="P151" s="17"/>
      <c r="Q151" s="17"/>
      <c r="R151" s="15" t="s">
        <v>19</v>
      </c>
    </row>
    <row r="152">
      <c r="A152" s="6"/>
      <c r="B152" s="8" t="s">
        <v>625</v>
      </c>
      <c r="C152" s="8"/>
      <c r="D152" s="8" t="s">
        <v>626</v>
      </c>
      <c r="E152" s="8" t="s">
        <v>95</v>
      </c>
      <c r="F152" s="8" t="s">
        <v>627</v>
      </c>
      <c r="G152" s="6"/>
      <c r="H152" s="13"/>
      <c r="I152" s="15" t="str">
        <f>=G152*J152</f>
      </c>
      <c r="J152" s="15" t="str">
        <f>IF(EXACT(K152,"V"),K$5,0)+IF(EXACT(L152,"V"),L$5,0)+IF(EXACT(M152,"V"),M$5,0)+IF(EXACT(N152,"V"),N$5,0)+IF(EXACT(O152,"V"),O$5,0)+IF(EXACT(P152,"V"),P$5,0)+IF(EXACT(Q152,"V"),Q$5,0)</f>
      </c>
      <c r="K152" s="17"/>
      <c r="L152" s="17"/>
      <c r="M152" s="17"/>
      <c r="N152" s="17"/>
      <c r="O152" s="17"/>
      <c r="P152" s="17"/>
      <c r="Q152" s="17"/>
      <c r="R152" s="15" t="s">
        <v>19</v>
      </c>
    </row>
    <row r="153">
      <c r="A153" s="7" t="s">
        <v>628</v>
      </c>
      <c r="B153" s="9" t="s">
        <v>629</v>
      </c>
      <c r="C153" s="9"/>
      <c r="D153" s="9" t="s">
        <v>630</v>
      </c>
      <c r="E153" s="9" t="s">
        <v>61</v>
      </c>
      <c r="F153" s="9" t="s">
        <v>631</v>
      </c>
      <c r="G153" s="7">
        <v>6</v>
      </c>
      <c r="H153" s="14" t="s">
        <v>632</v>
      </c>
      <c r="I153" s="16" t="str">
        <f>=G153*J153</f>
      </c>
      <c r="J153" s="16" t="str">
        <f>IF(EXACT(K153,"V"),K$5,0)+IF(EXACT(L153,"V"),L$5,0)+IF(EXACT(M153,"V"),M$5,0)+IF(EXACT(N153,"V"),N$5,0)+IF(EXACT(O153,"V"),O$5,0)+IF(EXACT(P153,"V"),P$5,0)+IF(EXACT(Q153,"V"),Q$5,0)</f>
      </c>
      <c r="K153" s="18"/>
      <c r="L153" s="18"/>
      <c r="M153" s="18"/>
      <c r="N153" s="18"/>
      <c r="O153" s="18"/>
      <c r="P153" s="18"/>
      <c r="Q153" s="18"/>
      <c r="R153" s="16" t="s">
        <v>19</v>
      </c>
    </row>
    <row r="154">
      <c r="A154" s="7"/>
      <c r="B154" s="9" t="s">
        <v>633</v>
      </c>
      <c r="C154" s="9"/>
      <c r="D154" s="9" t="s">
        <v>634</v>
      </c>
      <c r="E154" s="9" t="s">
        <v>197</v>
      </c>
      <c r="F154" s="9" t="s">
        <v>635</v>
      </c>
      <c r="G154" s="7"/>
      <c r="H154" s="14"/>
      <c r="I154" s="16" t="str">
        <f>=G154*J154</f>
      </c>
      <c r="J154" s="16" t="str">
        <f>IF(EXACT(K154,"V"),K$5,0)+IF(EXACT(L154,"V"),L$5,0)+IF(EXACT(M154,"V"),M$5,0)+IF(EXACT(N154,"V"),N$5,0)+IF(EXACT(O154,"V"),O$5,0)+IF(EXACT(P154,"V"),P$5,0)+IF(EXACT(Q154,"V"),Q$5,0)</f>
      </c>
      <c r="K154" s="18"/>
      <c r="L154" s="18"/>
      <c r="M154" s="18"/>
      <c r="N154" s="18"/>
      <c r="O154" s="18"/>
      <c r="P154" s="18"/>
      <c r="Q154" s="18"/>
      <c r="R154" s="16" t="s">
        <v>19</v>
      </c>
    </row>
    <row r="155">
      <c r="A155" s="7"/>
      <c r="B155" s="9" t="s">
        <v>636</v>
      </c>
      <c r="C155" s="9"/>
      <c r="D155" s="9" t="s">
        <v>637</v>
      </c>
      <c r="E155" s="9" t="s">
        <v>108</v>
      </c>
      <c r="F155" s="9" t="s">
        <v>638</v>
      </c>
      <c r="G155" s="7"/>
      <c r="H155" s="14"/>
      <c r="I155" s="16" t="str">
        <f>=G155*J155</f>
      </c>
      <c r="J155" s="16" t="str">
        <f>IF(EXACT(K155,"V"),K$5,0)+IF(EXACT(L155,"V"),L$5,0)+IF(EXACT(M155,"V"),M$5,0)+IF(EXACT(N155,"V"),N$5,0)+IF(EXACT(O155,"V"),O$5,0)+IF(EXACT(P155,"V"),P$5,0)+IF(EXACT(Q155,"V"),Q$5,0)</f>
      </c>
      <c r="K155" s="18"/>
      <c r="L155" s="18"/>
      <c r="M155" s="18"/>
      <c r="N155" s="18"/>
      <c r="O155" s="18"/>
      <c r="P155" s="18"/>
      <c r="Q155" s="18"/>
      <c r="R155" s="16" t="s">
        <v>19</v>
      </c>
    </row>
    <row r="156">
      <c r="A156" s="7"/>
      <c r="B156" s="9" t="s">
        <v>639</v>
      </c>
      <c r="C156" s="9"/>
      <c r="D156" s="9" t="s">
        <v>634</v>
      </c>
      <c r="E156" s="9" t="s">
        <v>126</v>
      </c>
      <c r="F156" s="9" t="s">
        <v>640</v>
      </c>
      <c r="G156" s="7"/>
      <c r="H156" s="14"/>
      <c r="I156" s="16" t="str">
        <f>=G156*J156</f>
      </c>
      <c r="J156" s="16" t="str">
        <f>IF(EXACT(K156,"V"),K$5,0)+IF(EXACT(L156,"V"),L$5,0)+IF(EXACT(M156,"V"),M$5,0)+IF(EXACT(N156,"V"),N$5,0)+IF(EXACT(O156,"V"),O$5,0)+IF(EXACT(P156,"V"),P$5,0)+IF(EXACT(Q156,"V"),Q$5,0)</f>
      </c>
      <c r="K156" s="18"/>
      <c r="L156" s="18"/>
      <c r="M156" s="18"/>
      <c r="N156" s="18"/>
      <c r="O156" s="18"/>
      <c r="P156" s="18"/>
      <c r="Q156" s="18"/>
      <c r="R156" s="16" t="s">
        <v>19</v>
      </c>
    </row>
    <row r="157">
      <c r="A157" s="7"/>
      <c r="B157" s="9" t="s">
        <v>641</v>
      </c>
      <c r="C157" s="9"/>
      <c r="D157" s="9" t="s">
        <v>637</v>
      </c>
      <c r="E157" s="9" t="s">
        <v>642</v>
      </c>
      <c r="F157" s="9" t="s">
        <v>638</v>
      </c>
      <c r="G157" s="7"/>
      <c r="H157" s="14"/>
      <c r="I157" s="16" t="str">
        <f>=G157*J157</f>
      </c>
      <c r="J157" s="16" t="str">
        <f>IF(EXACT(K157,"V"),K$5,0)+IF(EXACT(L157,"V"),L$5,0)+IF(EXACT(M157,"V"),M$5,0)+IF(EXACT(N157,"V"),N$5,0)+IF(EXACT(O157,"V"),O$5,0)+IF(EXACT(P157,"V"),P$5,0)+IF(EXACT(Q157,"V"),Q$5,0)</f>
      </c>
      <c r="K157" s="18"/>
      <c r="L157" s="18"/>
      <c r="M157" s="18"/>
      <c r="N157" s="18"/>
      <c r="O157" s="18"/>
      <c r="P157" s="18"/>
      <c r="Q157" s="18"/>
      <c r="R157" s="16" t="s">
        <v>19</v>
      </c>
    </row>
    <row r="158">
      <c r="A158" s="7"/>
      <c r="B158" s="9" t="s">
        <v>643</v>
      </c>
      <c r="C158" s="9"/>
      <c r="D158" s="9" t="s">
        <v>630</v>
      </c>
      <c r="E158" s="9" t="s">
        <v>112</v>
      </c>
      <c r="F158" s="9" t="s">
        <v>638</v>
      </c>
      <c r="G158" s="7"/>
      <c r="H158" s="14"/>
      <c r="I158" s="16" t="str">
        <f>=G158*J158</f>
      </c>
      <c r="J158" s="16" t="str">
        <f>IF(EXACT(K158,"V"),K$5,0)+IF(EXACT(L158,"V"),L$5,0)+IF(EXACT(M158,"V"),M$5,0)+IF(EXACT(N158,"V"),N$5,0)+IF(EXACT(O158,"V"),O$5,0)+IF(EXACT(P158,"V"),P$5,0)+IF(EXACT(Q158,"V"),Q$5,0)</f>
      </c>
      <c r="K158" s="18"/>
      <c r="L158" s="18"/>
      <c r="M158" s="18"/>
      <c r="N158" s="18"/>
      <c r="O158" s="18"/>
      <c r="P158" s="18"/>
      <c r="Q158" s="18"/>
      <c r="R158" s="16" t="s">
        <v>644</v>
      </c>
    </row>
    <row r="159">
      <c r="A159" s="7"/>
      <c r="B159" s="9" t="s">
        <v>645</v>
      </c>
      <c r="C159" s="9"/>
      <c r="D159" s="9" t="s">
        <v>646</v>
      </c>
      <c r="E159" s="9" t="s">
        <v>203</v>
      </c>
      <c r="F159" s="9" t="s">
        <v>638</v>
      </c>
      <c r="G159" s="7"/>
      <c r="H159" s="14"/>
      <c r="I159" s="16" t="str">
        <f>=G159*J159</f>
      </c>
      <c r="J159" s="16" t="str">
        <f>IF(EXACT(K159,"V"),K$5,0)+IF(EXACT(L159,"V"),L$5,0)+IF(EXACT(M159,"V"),M$5,0)+IF(EXACT(N159,"V"),N$5,0)+IF(EXACT(O159,"V"),O$5,0)+IF(EXACT(P159,"V"),P$5,0)+IF(EXACT(Q159,"V"),Q$5,0)</f>
      </c>
      <c r="K159" s="18"/>
      <c r="L159" s="18"/>
      <c r="M159" s="18"/>
      <c r="N159" s="18"/>
      <c r="O159" s="18"/>
      <c r="P159" s="18"/>
      <c r="Q159" s="18"/>
      <c r="R159" s="16" t="s">
        <v>19</v>
      </c>
    </row>
    <row r="160">
      <c r="A160" s="7"/>
      <c r="B160" s="9" t="s">
        <v>647</v>
      </c>
      <c r="C160" s="9"/>
      <c r="D160" s="9" t="s">
        <v>648</v>
      </c>
      <c r="E160" s="9" t="s">
        <v>115</v>
      </c>
      <c r="F160" s="9" t="s">
        <v>649</v>
      </c>
      <c r="G160" s="7"/>
      <c r="H160" s="14"/>
      <c r="I160" s="16" t="str">
        <f>=G160*J160</f>
      </c>
      <c r="J160" s="16" t="str">
        <f>IF(EXACT(K160,"V"),K$5,0)+IF(EXACT(L160,"V"),L$5,0)+IF(EXACT(M160,"V"),M$5,0)+IF(EXACT(N160,"V"),N$5,0)+IF(EXACT(O160,"V"),O$5,0)+IF(EXACT(P160,"V"),P$5,0)+IF(EXACT(Q160,"V"),Q$5,0)</f>
      </c>
      <c r="K160" s="18"/>
      <c r="L160" s="18"/>
      <c r="M160" s="18"/>
      <c r="N160" s="18"/>
      <c r="O160" s="18"/>
      <c r="P160" s="18"/>
      <c r="Q160" s="18"/>
      <c r="R160" s="16" t="s">
        <v>19</v>
      </c>
    </row>
    <row r="161">
      <c r="A161" s="6" t="s">
        <v>650</v>
      </c>
      <c r="B161" s="8" t="s">
        <v>651</v>
      </c>
      <c r="C161" s="8"/>
      <c r="D161" s="8" t="s">
        <v>652</v>
      </c>
      <c r="E161" s="8" t="s">
        <v>95</v>
      </c>
      <c r="F161" s="8" t="s">
        <v>653</v>
      </c>
      <c r="G161" s="6">
        <v>2</v>
      </c>
      <c r="H161" s="13" t="s">
        <v>654</v>
      </c>
      <c r="I161" s="15" t="str">
        <f>=G161*J161</f>
      </c>
      <c r="J161" s="15" t="str">
        <f>IF(EXACT(K161,"V"),K$5,0)+IF(EXACT(L161,"V"),L$5,0)+IF(EXACT(M161,"V"),M$5,0)+IF(EXACT(N161,"V"),N$5,0)+IF(EXACT(O161,"V"),O$5,0)+IF(EXACT(P161,"V"),P$5,0)+IF(EXACT(Q161,"V"),Q$5,0)</f>
      </c>
      <c r="K161" s="17"/>
      <c r="L161" s="17"/>
      <c r="M161" s="17"/>
      <c r="N161" s="17"/>
      <c r="O161" s="17"/>
      <c r="P161" s="17"/>
      <c r="Q161" s="17"/>
      <c r="R161" s="15" t="s">
        <v>19</v>
      </c>
    </row>
    <row r="162">
      <c r="A162" s="6"/>
      <c r="B162" s="8" t="s">
        <v>655</v>
      </c>
      <c r="C162" s="8"/>
      <c r="D162" s="8" t="s">
        <v>656</v>
      </c>
      <c r="E162" s="8" t="s">
        <v>28</v>
      </c>
      <c r="F162" s="8" t="s">
        <v>657</v>
      </c>
      <c r="G162" s="6"/>
      <c r="H162" s="13"/>
      <c r="I162" s="15" t="str">
        <f>=G162*J162</f>
      </c>
      <c r="J162" s="15" t="str">
        <f>IF(EXACT(K162,"V"),K$5,0)+IF(EXACT(L162,"V"),L$5,0)+IF(EXACT(M162,"V"),M$5,0)+IF(EXACT(N162,"V"),N$5,0)+IF(EXACT(O162,"V"),O$5,0)+IF(EXACT(P162,"V"),P$5,0)+IF(EXACT(Q162,"V"),Q$5,0)</f>
      </c>
      <c r="K162" s="17"/>
      <c r="L162" s="17"/>
      <c r="M162" s="17"/>
      <c r="N162" s="17"/>
      <c r="O162" s="17"/>
      <c r="P162" s="17"/>
      <c r="Q162" s="17"/>
      <c r="R162" s="15" t="s">
        <v>19</v>
      </c>
    </row>
    <row r="163">
      <c r="A163" s="6"/>
      <c r="B163" s="8" t="s">
        <v>658</v>
      </c>
      <c r="C163" s="8"/>
      <c r="D163" s="8" t="s">
        <v>659</v>
      </c>
      <c r="E163" s="8" t="s">
        <v>357</v>
      </c>
      <c r="F163" s="8" t="s">
        <v>660</v>
      </c>
      <c r="G163" s="6"/>
      <c r="H163" s="13"/>
      <c r="I163" s="15" t="str">
        <f>=G163*J163</f>
      </c>
      <c r="J163" s="15" t="str">
        <f>IF(EXACT(K163,"V"),K$5,0)+IF(EXACT(L163,"V"),L$5,0)+IF(EXACT(M163,"V"),M$5,0)+IF(EXACT(N163,"V"),N$5,0)+IF(EXACT(O163,"V"),O$5,0)+IF(EXACT(P163,"V"),P$5,0)+IF(EXACT(Q163,"V"),Q$5,0)</f>
      </c>
      <c r="K163" s="17"/>
      <c r="L163" s="17"/>
      <c r="M163" s="17"/>
      <c r="N163" s="17"/>
      <c r="O163" s="17"/>
      <c r="P163" s="17"/>
      <c r="Q163" s="17"/>
      <c r="R163" s="15" t="s">
        <v>19</v>
      </c>
    </row>
    <row r="164">
      <c r="A164" s="7" t="s">
        <v>661</v>
      </c>
      <c r="B164" s="9" t="s">
        <v>662</v>
      </c>
      <c r="C164" s="9"/>
      <c r="D164" s="9" t="s">
        <v>663</v>
      </c>
      <c r="E164" s="9" t="s">
        <v>61</v>
      </c>
      <c r="F164" s="9" t="s">
        <v>664</v>
      </c>
      <c r="G164" s="7">
        <v>17</v>
      </c>
      <c r="H164" s="14" t="s">
        <v>665</v>
      </c>
      <c r="I164" s="16" t="str">
        <f>=G164*J164</f>
      </c>
      <c r="J164" s="16" t="str">
        <f>IF(EXACT(K164,"V"),K$5,0)+IF(EXACT(L164,"V"),L$5,0)+IF(EXACT(M164,"V"),M$5,0)+IF(EXACT(N164,"V"),N$5,0)+IF(EXACT(O164,"V"),O$5,0)+IF(EXACT(P164,"V"),P$5,0)+IF(EXACT(Q164,"V"),Q$5,0)</f>
      </c>
      <c r="K164" s="18"/>
      <c r="L164" s="18"/>
      <c r="M164" s="18"/>
      <c r="N164" s="18"/>
      <c r="O164" s="18"/>
      <c r="P164" s="18"/>
      <c r="Q164" s="18"/>
      <c r="R164" s="16" t="s">
        <v>19</v>
      </c>
    </row>
    <row r="165">
      <c r="A165" s="7"/>
      <c r="B165" s="9" t="s">
        <v>666</v>
      </c>
      <c r="C165" s="9"/>
      <c r="D165" s="9" t="s">
        <v>667</v>
      </c>
      <c r="E165" s="9" t="s">
        <v>108</v>
      </c>
      <c r="F165" s="9" t="s">
        <v>668</v>
      </c>
      <c r="G165" s="7"/>
      <c r="H165" s="14"/>
      <c r="I165" s="16" t="str">
        <f>=G165*J165</f>
      </c>
      <c r="J165" s="16" t="str">
        <f>IF(EXACT(K165,"V"),K$5,0)+IF(EXACT(L165,"V"),L$5,0)+IF(EXACT(M165,"V"),M$5,0)+IF(EXACT(N165,"V"),N$5,0)+IF(EXACT(O165,"V"),O$5,0)+IF(EXACT(P165,"V"),P$5,0)+IF(EXACT(Q165,"V"),Q$5,0)</f>
      </c>
      <c r="K165" s="18"/>
      <c r="L165" s="18"/>
      <c r="M165" s="18"/>
      <c r="N165" s="18"/>
      <c r="O165" s="18"/>
      <c r="P165" s="18"/>
      <c r="Q165" s="18"/>
      <c r="R165" s="16" t="s">
        <v>19</v>
      </c>
    </row>
    <row r="166">
      <c r="A166" s="7"/>
      <c r="B166" s="9" t="s">
        <v>669</v>
      </c>
      <c r="C166" s="9"/>
      <c r="D166" s="9" t="s">
        <v>670</v>
      </c>
      <c r="E166" s="9" t="s">
        <v>671</v>
      </c>
      <c r="F166" s="9" t="s">
        <v>672</v>
      </c>
      <c r="G166" s="7"/>
      <c r="H166" s="14"/>
      <c r="I166" s="16" t="str">
        <f>=G166*J166</f>
      </c>
      <c r="J166" s="16" t="str">
        <f>IF(EXACT(K166,"V"),K$5,0)+IF(EXACT(L166,"V"),L$5,0)+IF(EXACT(M166,"V"),M$5,0)+IF(EXACT(N166,"V"),N$5,0)+IF(EXACT(O166,"V"),O$5,0)+IF(EXACT(P166,"V"),P$5,0)+IF(EXACT(Q166,"V"),Q$5,0)</f>
      </c>
      <c r="K166" s="18"/>
      <c r="L166" s="18"/>
      <c r="M166" s="18"/>
      <c r="N166" s="18"/>
      <c r="O166" s="18"/>
      <c r="P166" s="18"/>
      <c r="Q166" s="18"/>
      <c r="R166" s="16" t="s">
        <v>19</v>
      </c>
    </row>
    <row r="167">
      <c r="A167" s="7"/>
      <c r="B167" s="9" t="s">
        <v>673</v>
      </c>
      <c r="C167" s="9"/>
      <c r="D167" s="9" t="s">
        <v>674</v>
      </c>
      <c r="E167" s="9" t="s">
        <v>112</v>
      </c>
      <c r="F167" s="9" t="s">
        <v>675</v>
      </c>
      <c r="G167" s="7"/>
      <c r="H167" s="14"/>
      <c r="I167" s="16" t="str">
        <f>=G167*J167</f>
      </c>
      <c r="J167" s="16" t="str">
        <f>IF(EXACT(K167,"V"),K$5,0)+IF(EXACT(L167,"V"),L$5,0)+IF(EXACT(M167,"V"),M$5,0)+IF(EXACT(N167,"V"),N$5,0)+IF(EXACT(O167,"V"),O$5,0)+IF(EXACT(P167,"V"),P$5,0)+IF(EXACT(Q167,"V"),Q$5,0)</f>
      </c>
      <c r="K167" s="18"/>
      <c r="L167" s="18"/>
      <c r="M167" s="18"/>
      <c r="N167" s="18"/>
      <c r="O167" s="18"/>
      <c r="P167" s="18"/>
      <c r="Q167" s="18"/>
      <c r="R167" s="16" t="s">
        <v>19</v>
      </c>
    </row>
    <row r="168">
      <c r="A168" s="7"/>
      <c r="B168" s="9" t="s">
        <v>676</v>
      </c>
      <c r="C168" s="9"/>
      <c r="D168" s="9" t="s">
        <v>677</v>
      </c>
      <c r="E168" s="9" t="s">
        <v>203</v>
      </c>
      <c r="F168" s="9" t="s">
        <v>678</v>
      </c>
      <c r="G168" s="7"/>
      <c r="H168" s="14"/>
      <c r="I168" s="16" t="str">
        <f>=G168*J168</f>
      </c>
      <c r="J168" s="16" t="str">
        <f>IF(EXACT(K168,"V"),K$5,0)+IF(EXACT(L168,"V"),L$5,0)+IF(EXACT(M168,"V"),M$5,0)+IF(EXACT(N168,"V"),N$5,0)+IF(EXACT(O168,"V"),O$5,0)+IF(EXACT(P168,"V"),P$5,0)+IF(EXACT(Q168,"V"),Q$5,0)</f>
      </c>
      <c r="K168" s="18"/>
      <c r="L168" s="18"/>
      <c r="M168" s="18"/>
      <c r="N168" s="18"/>
      <c r="O168" s="18"/>
      <c r="P168" s="18"/>
      <c r="Q168" s="18"/>
      <c r="R168" s="16" t="s">
        <v>19</v>
      </c>
    </row>
    <row r="169">
      <c r="A169" s="7"/>
      <c r="B169" s="9" t="s">
        <v>679</v>
      </c>
      <c r="C169" s="9"/>
      <c r="D169" s="9" t="s">
        <v>680</v>
      </c>
      <c r="E169" s="9" t="s">
        <v>115</v>
      </c>
      <c r="F169" s="9" t="s">
        <v>681</v>
      </c>
      <c r="G169" s="7"/>
      <c r="H169" s="14"/>
      <c r="I169" s="16" t="str">
        <f>=G169*J169</f>
      </c>
      <c r="J169" s="16" t="str">
        <f>IF(EXACT(K169,"V"),K$5,0)+IF(EXACT(L169,"V"),L$5,0)+IF(EXACT(M169,"V"),M$5,0)+IF(EXACT(N169,"V"),N$5,0)+IF(EXACT(O169,"V"),O$5,0)+IF(EXACT(P169,"V"),P$5,0)+IF(EXACT(Q169,"V"),Q$5,0)</f>
      </c>
      <c r="K169" s="18"/>
      <c r="L169" s="18"/>
      <c r="M169" s="18"/>
      <c r="N169" s="18"/>
      <c r="O169" s="18"/>
      <c r="P169" s="18"/>
      <c r="Q169" s="18"/>
      <c r="R169" s="16" t="s">
        <v>19</v>
      </c>
    </row>
    <row r="170">
      <c r="A170" s="6" t="s">
        <v>682</v>
      </c>
      <c r="B170" s="8" t="s">
        <v>683</v>
      </c>
      <c r="C170" s="8"/>
      <c r="D170" s="8" t="s">
        <v>684</v>
      </c>
      <c r="E170" s="8" t="s">
        <v>126</v>
      </c>
      <c r="F170" s="8" t="s">
        <v>685</v>
      </c>
      <c r="G170" s="6">
        <v>6</v>
      </c>
      <c r="H170" s="13" t="s">
        <v>686</v>
      </c>
      <c r="I170" s="15" t="str">
        <f>=G170*J170</f>
      </c>
      <c r="J170" s="15" t="str">
        <f>IF(EXACT(K170,"V"),K$5,0)+IF(EXACT(L170,"V"),L$5,0)+IF(EXACT(M170,"V"),M$5,0)+IF(EXACT(N170,"V"),N$5,0)+IF(EXACT(O170,"V"),O$5,0)+IF(EXACT(P170,"V"),P$5,0)+IF(EXACT(Q170,"V"),Q$5,0)</f>
      </c>
      <c r="K170" s="17"/>
      <c r="L170" s="17"/>
      <c r="M170" s="17"/>
      <c r="N170" s="17"/>
      <c r="O170" s="17"/>
      <c r="P170" s="17"/>
      <c r="Q170" s="17"/>
      <c r="R170" s="15" t="s">
        <v>19</v>
      </c>
    </row>
    <row r="171">
      <c r="A171" s="6"/>
      <c r="B171" s="8" t="s">
        <v>687</v>
      </c>
      <c r="C171" s="8"/>
      <c r="D171" s="8" t="s">
        <v>688</v>
      </c>
      <c r="E171" s="8" t="s">
        <v>689</v>
      </c>
      <c r="F171" s="8" t="s">
        <v>690</v>
      </c>
      <c r="G171" s="6"/>
      <c r="H171" s="13"/>
      <c r="I171" s="15" t="str">
        <f>=G171*J171</f>
      </c>
      <c r="J171" s="15" t="str">
        <f>IF(EXACT(K171,"V"),K$5,0)+IF(EXACT(L171,"V"),L$5,0)+IF(EXACT(M171,"V"),M$5,0)+IF(EXACT(N171,"V"),N$5,0)+IF(EXACT(O171,"V"),O$5,0)+IF(EXACT(P171,"V"),P$5,0)+IF(EXACT(Q171,"V"),Q$5,0)</f>
      </c>
      <c r="K171" s="17"/>
      <c r="L171" s="17"/>
      <c r="M171" s="17"/>
      <c r="N171" s="17"/>
      <c r="O171" s="17"/>
      <c r="P171" s="17"/>
      <c r="Q171" s="17"/>
      <c r="R171" s="15" t="s">
        <v>19</v>
      </c>
    </row>
    <row r="172">
      <c r="A172" s="6"/>
      <c r="B172" s="8" t="s">
        <v>691</v>
      </c>
      <c r="C172" s="8"/>
      <c r="D172" s="8" t="s">
        <v>692</v>
      </c>
      <c r="E172" s="8" t="s">
        <v>693</v>
      </c>
      <c r="F172" s="8" t="s">
        <v>694</v>
      </c>
      <c r="G172" s="6"/>
      <c r="H172" s="13"/>
      <c r="I172" s="15" t="str">
        <f>=G172*J172</f>
      </c>
      <c r="J172" s="15" t="str">
        <f>IF(EXACT(K172,"V"),K$5,0)+IF(EXACT(L172,"V"),L$5,0)+IF(EXACT(M172,"V"),M$5,0)+IF(EXACT(N172,"V"),N$5,0)+IF(EXACT(O172,"V"),O$5,0)+IF(EXACT(P172,"V"),P$5,0)+IF(EXACT(Q172,"V"),Q$5,0)</f>
      </c>
      <c r="K172" s="17"/>
      <c r="L172" s="17"/>
      <c r="M172" s="17"/>
      <c r="N172" s="17"/>
      <c r="O172" s="17"/>
      <c r="P172" s="17"/>
      <c r="Q172" s="17"/>
      <c r="R172" s="15" t="s">
        <v>19</v>
      </c>
    </row>
    <row r="173">
      <c r="A173" s="6"/>
      <c r="B173" s="8" t="s">
        <v>695</v>
      </c>
      <c r="C173" s="8"/>
      <c r="D173" s="8" t="s">
        <v>696</v>
      </c>
      <c r="E173" s="8" t="s">
        <v>697</v>
      </c>
      <c r="F173" s="8" t="s">
        <v>698</v>
      </c>
      <c r="G173" s="6"/>
      <c r="H173" s="13"/>
      <c r="I173" s="15" t="str">
        <f>=G173*J173</f>
      </c>
      <c r="J173" s="15" t="str">
        <f>IF(EXACT(K173,"V"),K$5,0)+IF(EXACT(L173,"V"),L$5,0)+IF(EXACT(M173,"V"),M$5,0)+IF(EXACT(N173,"V"),N$5,0)+IF(EXACT(O173,"V"),O$5,0)+IF(EXACT(P173,"V"),P$5,0)+IF(EXACT(Q173,"V"),Q$5,0)</f>
      </c>
      <c r="K173" s="17"/>
      <c r="L173" s="17"/>
      <c r="M173" s="17"/>
      <c r="N173" s="17"/>
      <c r="O173" s="17"/>
      <c r="P173" s="17"/>
      <c r="Q173" s="17"/>
      <c r="R173" s="15" t="s">
        <v>19</v>
      </c>
    </row>
    <row r="174">
      <c r="A174" s="6"/>
      <c r="B174" s="8" t="s">
        <v>699</v>
      </c>
      <c r="C174" s="8"/>
      <c r="D174" s="8" t="s">
        <v>700</v>
      </c>
      <c r="E174" s="8" t="s">
        <v>701</v>
      </c>
      <c r="F174" s="8" t="s">
        <v>702</v>
      </c>
      <c r="G174" s="6"/>
      <c r="H174" s="13"/>
      <c r="I174" s="15" t="str">
        <f>=G174*J174</f>
      </c>
      <c r="J174" s="15" t="str">
        <f>IF(EXACT(K174,"V"),K$5,0)+IF(EXACT(L174,"V"),L$5,0)+IF(EXACT(M174,"V"),M$5,0)+IF(EXACT(N174,"V"),N$5,0)+IF(EXACT(O174,"V"),O$5,0)+IF(EXACT(P174,"V"),P$5,0)+IF(EXACT(Q174,"V"),Q$5,0)</f>
      </c>
      <c r="K174" s="17"/>
      <c r="L174" s="17"/>
      <c r="M174" s="17"/>
      <c r="N174" s="17"/>
      <c r="O174" s="17"/>
      <c r="P174" s="17"/>
      <c r="Q174" s="17"/>
      <c r="R174" s="15" t="s">
        <v>19</v>
      </c>
    </row>
    <row r="175">
      <c r="A175" s="6"/>
      <c r="B175" s="8" t="s">
        <v>703</v>
      </c>
      <c r="C175" s="8"/>
      <c r="D175" s="8" t="s">
        <v>704</v>
      </c>
      <c r="E175" s="8" t="s">
        <v>65</v>
      </c>
      <c r="F175" s="8" t="s">
        <v>705</v>
      </c>
      <c r="G175" s="6"/>
      <c r="H175" s="13"/>
      <c r="I175" s="15" t="str">
        <f>=G175*J175</f>
      </c>
      <c r="J175" s="15" t="str">
        <f>IF(EXACT(K175,"V"),K$5,0)+IF(EXACT(L175,"V"),L$5,0)+IF(EXACT(M175,"V"),M$5,0)+IF(EXACT(N175,"V"),N$5,0)+IF(EXACT(O175,"V"),O$5,0)+IF(EXACT(P175,"V"),P$5,0)+IF(EXACT(Q175,"V"),Q$5,0)</f>
      </c>
      <c r="K175" s="17"/>
      <c r="L175" s="17"/>
      <c r="M175" s="17"/>
      <c r="N175" s="17"/>
      <c r="O175" s="17"/>
      <c r="P175" s="17"/>
      <c r="Q175" s="17"/>
      <c r="R175" s="15" t="s">
        <v>19</v>
      </c>
    </row>
    <row r="176">
      <c r="A176" s="6"/>
      <c r="B176" s="8" t="s">
        <v>706</v>
      </c>
      <c r="C176" s="8"/>
      <c r="D176" s="8" t="s">
        <v>707</v>
      </c>
      <c r="E176" s="8" t="s">
        <v>73</v>
      </c>
      <c r="F176" s="8" t="s">
        <v>708</v>
      </c>
      <c r="G176" s="6"/>
      <c r="H176" s="13"/>
      <c r="I176" s="15" t="str">
        <f>=G176*J176</f>
      </c>
      <c r="J176" s="15" t="str">
        <f>IF(EXACT(K176,"V"),K$5,0)+IF(EXACT(L176,"V"),L$5,0)+IF(EXACT(M176,"V"),M$5,0)+IF(EXACT(N176,"V"),N$5,0)+IF(EXACT(O176,"V"),O$5,0)+IF(EXACT(P176,"V"),P$5,0)+IF(EXACT(Q176,"V"),Q$5,0)</f>
      </c>
      <c r="K176" s="17"/>
      <c r="L176" s="17"/>
      <c r="M176" s="17"/>
      <c r="N176" s="17"/>
      <c r="O176" s="17"/>
      <c r="P176" s="17"/>
      <c r="Q176" s="17"/>
      <c r="R176" s="15" t="s">
        <v>19</v>
      </c>
    </row>
    <row r="177">
      <c r="A177" s="7" t="s">
        <v>709</v>
      </c>
      <c r="B177" s="9" t="s">
        <v>710</v>
      </c>
      <c r="C177" s="9"/>
      <c r="D177" s="9" t="s">
        <v>711</v>
      </c>
      <c r="E177" s="9" t="s">
        <v>712</v>
      </c>
      <c r="F177" s="9" t="s">
        <v>713</v>
      </c>
      <c r="G177" s="7">
        <v>1</v>
      </c>
      <c r="H177" s="14" t="s">
        <v>714</v>
      </c>
      <c r="I177" s="16" t="str">
        <f>=G177*J177</f>
      </c>
      <c r="J177" s="16" t="str">
        <f>IF(EXACT(K177,"V"),K$5,0)+IF(EXACT(L177,"V"),L$5,0)+IF(EXACT(M177,"V"),M$5,0)+IF(EXACT(N177,"V"),N$5,0)+IF(EXACT(O177,"V"),O$5,0)+IF(EXACT(P177,"V"),P$5,0)+IF(EXACT(Q177,"V"),Q$5,0)</f>
      </c>
      <c r="K177" s="18"/>
      <c r="L177" s="18"/>
      <c r="M177" s="18"/>
      <c r="N177" s="18"/>
      <c r="O177" s="18"/>
      <c r="P177" s="18"/>
      <c r="Q177" s="18"/>
      <c r="R177" s="16" t="s">
        <v>19</v>
      </c>
    </row>
    <row r="178">
      <c r="A178" s="6" t="s">
        <v>715</v>
      </c>
      <c r="B178" s="8" t="s">
        <v>716</v>
      </c>
      <c r="C178" s="8"/>
      <c r="D178" s="8" t="s">
        <v>717</v>
      </c>
      <c r="E178" s="8" t="s">
        <v>120</v>
      </c>
      <c r="F178" s="8" t="s">
        <v>718</v>
      </c>
      <c r="G178" s="6">
        <v>5</v>
      </c>
      <c r="H178" s="13" t="s">
        <v>719</v>
      </c>
      <c r="I178" s="15" t="str">
        <f>=G178*J178</f>
      </c>
      <c r="J178" s="15" t="str">
        <f>IF(EXACT(K178,"V"),K$5,0)+IF(EXACT(L178,"V"),L$5,0)+IF(EXACT(M178,"V"),M$5,0)+IF(EXACT(N178,"V"),N$5,0)+IF(EXACT(O178,"V"),O$5,0)+IF(EXACT(P178,"V"),P$5,0)+IF(EXACT(Q178,"V"),Q$5,0)</f>
      </c>
      <c r="K178" s="17"/>
      <c r="L178" s="17"/>
      <c r="M178" s="17"/>
      <c r="N178" s="17"/>
      <c r="O178" s="17"/>
      <c r="P178" s="17"/>
      <c r="Q178" s="17"/>
      <c r="R178" s="15" t="s">
        <v>19</v>
      </c>
    </row>
    <row r="179">
      <c r="A179" s="6"/>
      <c r="B179" s="8" t="s">
        <v>720</v>
      </c>
      <c r="C179" s="8"/>
      <c r="D179" s="8" t="s">
        <v>721</v>
      </c>
      <c r="E179" s="8" t="s">
        <v>61</v>
      </c>
      <c r="F179" s="8" t="s">
        <v>722</v>
      </c>
      <c r="G179" s="6"/>
      <c r="H179" s="13"/>
      <c r="I179" s="15" t="str">
        <f>=G179*J179</f>
      </c>
      <c r="J179" s="15" t="str">
        <f>IF(EXACT(K179,"V"),K$5,0)+IF(EXACT(L179,"V"),L$5,0)+IF(EXACT(M179,"V"),M$5,0)+IF(EXACT(N179,"V"),N$5,0)+IF(EXACT(O179,"V"),O$5,0)+IF(EXACT(P179,"V"),P$5,0)+IF(EXACT(Q179,"V"),Q$5,0)</f>
      </c>
      <c r="K179" s="17"/>
      <c r="L179" s="17"/>
      <c r="M179" s="17"/>
      <c r="N179" s="17"/>
      <c r="O179" s="17"/>
      <c r="P179" s="17"/>
      <c r="Q179" s="17"/>
      <c r="R179" s="15" t="s">
        <v>19</v>
      </c>
    </row>
    <row r="180">
      <c r="A180" s="6"/>
      <c r="B180" s="8" t="s">
        <v>723</v>
      </c>
      <c r="C180" s="8"/>
      <c r="D180" s="8" t="s">
        <v>724</v>
      </c>
      <c r="E180" s="8" t="s">
        <v>416</v>
      </c>
      <c r="F180" s="8" t="s">
        <v>725</v>
      </c>
      <c r="G180" s="6"/>
      <c r="H180" s="13"/>
      <c r="I180" s="15" t="str">
        <f>=G180*J180</f>
      </c>
      <c r="J180" s="15" t="str">
        <f>IF(EXACT(K180,"V"),K$5,0)+IF(EXACT(L180,"V"),L$5,0)+IF(EXACT(M180,"V"),M$5,0)+IF(EXACT(N180,"V"),N$5,0)+IF(EXACT(O180,"V"),O$5,0)+IF(EXACT(P180,"V"),P$5,0)+IF(EXACT(Q180,"V"),Q$5,0)</f>
      </c>
      <c r="K180" s="17"/>
      <c r="L180" s="17"/>
      <c r="M180" s="17"/>
      <c r="N180" s="17"/>
      <c r="O180" s="17"/>
      <c r="P180" s="17"/>
      <c r="Q180" s="17"/>
      <c r="R180" s="15" t="s">
        <v>19</v>
      </c>
    </row>
    <row r="181">
      <c r="A181" s="6"/>
      <c r="B181" s="8" t="s">
        <v>726</v>
      </c>
      <c r="C181" s="8"/>
      <c r="D181" s="8" t="s">
        <v>727</v>
      </c>
      <c r="E181" s="8" t="s">
        <v>399</v>
      </c>
      <c r="F181" s="8" t="s">
        <v>728</v>
      </c>
      <c r="G181" s="6"/>
      <c r="H181" s="13"/>
      <c r="I181" s="15" t="str">
        <f>=G181*J181</f>
      </c>
      <c r="J181" s="15" t="str">
        <f>IF(EXACT(K181,"V"),K$5,0)+IF(EXACT(L181,"V"),L$5,0)+IF(EXACT(M181,"V"),M$5,0)+IF(EXACT(N181,"V"),N$5,0)+IF(EXACT(O181,"V"),O$5,0)+IF(EXACT(P181,"V"),P$5,0)+IF(EXACT(Q181,"V"),Q$5,0)</f>
      </c>
      <c r="K181" s="17"/>
      <c r="L181" s="17"/>
      <c r="M181" s="17"/>
      <c r="N181" s="17"/>
      <c r="O181" s="17"/>
      <c r="P181" s="17"/>
      <c r="Q181" s="17"/>
      <c r="R181" s="15" t="s">
        <v>19</v>
      </c>
    </row>
    <row r="182">
      <c r="A182" s="6"/>
      <c r="B182" s="8" t="s">
        <v>729</v>
      </c>
      <c r="C182" s="8"/>
      <c r="D182" s="8" t="s">
        <v>730</v>
      </c>
      <c r="E182" s="8" t="s">
        <v>403</v>
      </c>
      <c r="F182" s="8" t="s">
        <v>731</v>
      </c>
      <c r="G182" s="6"/>
      <c r="H182" s="13"/>
      <c r="I182" s="15" t="str">
        <f>=G182*J182</f>
      </c>
      <c r="J182" s="15" t="str">
        <f>IF(EXACT(K182,"V"),K$5,0)+IF(EXACT(L182,"V"),L$5,0)+IF(EXACT(M182,"V"),M$5,0)+IF(EXACT(N182,"V"),N$5,0)+IF(EXACT(O182,"V"),O$5,0)+IF(EXACT(P182,"V"),P$5,0)+IF(EXACT(Q182,"V"),Q$5,0)</f>
      </c>
      <c r="K182" s="17"/>
      <c r="L182" s="17"/>
      <c r="M182" s="17"/>
      <c r="N182" s="17"/>
      <c r="O182" s="17"/>
      <c r="P182" s="17"/>
      <c r="Q182" s="17"/>
      <c r="R182" s="15" t="s">
        <v>19</v>
      </c>
    </row>
    <row r="183">
      <c r="A183" s="6"/>
      <c r="B183" s="8" t="s">
        <v>732</v>
      </c>
      <c r="C183" s="8"/>
      <c r="D183" s="8" t="s">
        <v>733</v>
      </c>
      <c r="E183" s="8" t="s">
        <v>407</v>
      </c>
      <c r="F183" s="8" t="s">
        <v>734</v>
      </c>
      <c r="G183" s="6"/>
      <c r="H183" s="13"/>
      <c r="I183" s="15" t="str">
        <f>=G183*J183</f>
      </c>
      <c r="J183" s="15" t="str">
        <f>IF(EXACT(K183,"V"),K$5,0)+IF(EXACT(L183,"V"),L$5,0)+IF(EXACT(M183,"V"),M$5,0)+IF(EXACT(N183,"V"),N$5,0)+IF(EXACT(O183,"V"),O$5,0)+IF(EXACT(P183,"V"),P$5,0)+IF(EXACT(Q183,"V"),Q$5,0)</f>
      </c>
      <c r="K183" s="17"/>
      <c r="L183" s="17"/>
      <c r="M183" s="17"/>
      <c r="N183" s="17"/>
      <c r="O183" s="17"/>
      <c r="P183" s="17"/>
      <c r="Q183" s="17"/>
      <c r="R183" s="15" t="s">
        <v>19</v>
      </c>
    </row>
    <row r="184">
      <c r="A184" s="7" t="s">
        <v>735</v>
      </c>
      <c r="B184" s="9" t="s">
        <v>736</v>
      </c>
      <c r="C184" s="9"/>
      <c r="D184" s="9" t="s">
        <v>737</v>
      </c>
      <c r="E184" s="9" t="s">
        <v>599</v>
      </c>
      <c r="F184" s="9" t="s">
        <v>738</v>
      </c>
      <c r="G184" s="7">
        <v>1</v>
      </c>
      <c r="H184" s="14" t="s">
        <v>739</v>
      </c>
      <c r="I184" s="16" t="str">
        <f>=G184*J184</f>
      </c>
      <c r="J184" s="16" t="str">
        <f>IF(EXACT(K184,"V"),K$5,0)+IF(EXACT(L184,"V"),L$5,0)+IF(EXACT(M184,"V"),M$5,0)+IF(EXACT(N184,"V"),N$5,0)+IF(EXACT(O184,"V"),O$5,0)+IF(EXACT(P184,"V"),P$5,0)+IF(EXACT(Q184,"V"),Q$5,0)</f>
      </c>
      <c r="K184" s="18"/>
      <c r="L184" s="18"/>
      <c r="M184" s="18"/>
      <c r="N184" s="18"/>
      <c r="O184" s="18"/>
      <c r="P184" s="18"/>
      <c r="Q184" s="18"/>
      <c r="R184" s="16" t="s">
        <v>19</v>
      </c>
    </row>
    <row r="185">
      <c r="A185" s="7"/>
      <c r="B185" s="9" t="s">
        <v>740</v>
      </c>
      <c r="C185" s="9"/>
      <c r="D185" s="9" t="s">
        <v>741</v>
      </c>
      <c r="E185" s="9" t="s">
        <v>742</v>
      </c>
      <c r="F185" s="9" t="s">
        <v>743</v>
      </c>
      <c r="G185" s="7"/>
      <c r="H185" s="14"/>
      <c r="I185" s="16" t="str">
        <f>=G185*J185</f>
      </c>
      <c r="J185" s="16" t="str">
        <f>IF(EXACT(K185,"V"),K$5,0)+IF(EXACT(L185,"V"),L$5,0)+IF(EXACT(M185,"V"),M$5,0)+IF(EXACT(N185,"V"),N$5,0)+IF(EXACT(O185,"V"),O$5,0)+IF(EXACT(P185,"V"),P$5,0)+IF(EXACT(Q185,"V"),Q$5,0)</f>
      </c>
      <c r="K185" s="18"/>
      <c r="L185" s="18"/>
      <c r="M185" s="18"/>
      <c r="N185" s="18"/>
      <c r="O185" s="18"/>
      <c r="P185" s="18"/>
      <c r="Q185" s="18"/>
      <c r="R185" s="16" t="s">
        <v>19</v>
      </c>
    </row>
    <row r="186">
      <c r="A186" s="7"/>
      <c r="B186" s="9" t="s">
        <v>744</v>
      </c>
      <c r="C186" s="9"/>
      <c r="D186" s="9" t="s">
        <v>745</v>
      </c>
      <c r="E186" s="9" t="s">
        <v>746</v>
      </c>
      <c r="F186" s="9" t="s">
        <v>747</v>
      </c>
      <c r="G186" s="7"/>
      <c r="H186" s="14"/>
      <c r="I186" s="16" t="str">
        <f>=G186*J186</f>
      </c>
      <c r="J186" s="16" t="str">
        <f>IF(EXACT(K186,"V"),K$5,0)+IF(EXACT(L186,"V"),L$5,0)+IF(EXACT(M186,"V"),M$5,0)+IF(EXACT(N186,"V"),N$5,0)+IF(EXACT(O186,"V"),O$5,0)+IF(EXACT(P186,"V"),P$5,0)+IF(EXACT(Q186,"V"),Q$5,0)</f>
      </c>
      <c r="K186" s="18"/>
      <c r="L186" s="18"/>
      <c r="M186" s="18"/>
      <c r="N186" s="18"/>
      <c r="O186" s="18"/>
      <c r="P186" s="18"/>
      <c r="Q186" s="18"/>
      <c r="R186" s="16" t="s">
        <v>19</v>
      </c>
    </row>
    <row r="187">
      <c r="A187" s="6" t="s">
        <v>748</v>
      </c>
      <c r="B187" s="8" t="s">
        <v>749</v>
      </c>
      <c r="C187" s="8"/>
      <c r="D187" s="8" t="s">
        <v>750</v>
      </c>
      <c r="E187" s="8" t="s">
        <v>605</v>
      </c>
      <c r="F187" s="8" t="s">
        <v>751</v>
      </c>
      <c r="G187" s="6">
        <v>1</v>
      </c>
      <c r="H187" s="13" t="s">
        <v>752</v>
      </c>
      <c r="I187" s="15" t="str">
        <f>=G187*J187</f>
      </c>
      <c r="J187" s="15" t="str">
        <f>IF(EXACT(K187,"V"),K$5,0)+IF(EXACT(L187,"V"),L$5,0)+IF(EXACT(M187,"V"),M$5,0)+IF(EXACT(N187,"V"),N$5,0)+IF(EXACT(O187,"V"),O$5,0)+IF(EXACT(P187,"V"),P$5,0)+IF(EXACT(Q187,"V"),Q$5,0)</f>
      </c>
      <c r="K187" s="17"/>
      <c r="L187" s="17"/>
      <c r="M187" s="17"/>
      <c r="N187" s="17"/>
      <c r="O187" s="17"/>
      <c r="P187" s="17"/>
      <c r="Q187" s="17"/>
      <c r="R187" s="15" t="s">
        <v>19</v>
      </c>
    </row>
    <row r="188">
      <c r="A188" s="6"/>
      <c r="B188" s="8" t="s">
        <v>753</v>
      </c>
      <c r="C188" s="8"/>
      <c r="D188" s="8" t="s">
        <v>750</v>
      </c>
      <c r="E188" s="8" t="s">
        <v>754</v>
      </c>
      <c r="F188" s="8" t="s">
        <v>755</v>
      </c>
      <c r="G188" s="6"/>
      <c r="H188" s="13"/>
      <c r="I188" s="15" t="str">
        <f>=G188*J188</f>
      </c>
      <c r="J188" s="15" t="str">
        <f>IF(EXACT(K188,"V"),K$5,0)+IF(EXACT(L188,"V"),L$5,0)+IF(EXACT(M188,"V"),M$5,0)+IF(EXACT(N188,"V"),N$5,0)+IF(EXACT(O188,"V"),O$5,0)+IF(EXACT(P188,"V"),P$5,0)+IF(EXACT(Q188,"V"),Q$5,0)</f>
      </c>
      <c r="K188" s="17"/>
      <c r="L188" s="17"/>
      <c r="M188" s="17"/>
      <c r="N188" s="17"/>
      <c r="O188" s="17"/>
      <c r="P188" s="17"/>
      <c r="Q188" s="17"/>
      <c r="R188" s="15" t="s">
        <v>19</v>
      </c>
    </row>
    <row r="189">
      <c r="A189" s="6"/>
      <c r="B189" s="8" t="s">
        <v>756</v>
      </c>
      <c r="C189" s="8"/>
      <c r="D189" s="8" t="s">
        <v>757</v>
      </c>
      <c r="E189" s="8" t="s">
        <v>610</v>
      </c>
      <c r="F189" s="8" t="s">
        <v>758</v>
      </c>
      <c r="G189" s="6"/>
      <c r="H189" s="13"/>
      <c r="I189" s="15" t="str">
        <f>=G189*J189</f>
      </c>
      <c r="J189" s="15" t="str">
        <f>IF(EXACT(K189,"V"),K$5,0)+IF(EXACT(L189,"V"),L$5,0)+IF(EXACT(M189,"V"),M$5,0)+IF(EXACT(N189,"V"),N$5,0)+IF(EXACT(O189,"V"),O$5,0)+IF(EXACT(P189,"V"),P$5,0)+IF(EXACT(Q189,"V"),Q$5,0)</f>
      </c>
      <c r="K189" s="17"/>
      <c r="L189" s="17"/>
      <c r="M189" s="17"/>
      <c r="N189" s="17"/>
      <c r="O189" s="17"/>
      <c r="P189" s="17"/>
      <c r="Q189" s="17"/>
      <c r="R189" s="15" t="s">
        <v>19</v>
      </c>
    </row>
    <row r="190">
      <c r="A190" s="6"/>
      <c r="B190" s="8" t="s">
        <v>759</v>
      </c>
      <c r="C190" s="8"/>
      <c r="D190" s="8" t="s">
        <v>760</v>
      </c>
      <c r="E190" s="8" t="s">
        <v>614</v>
      </c>
      <c r="F190" s="8" t="s">
        <v>761</v>
      </c>
      <c r="G190" s="6"/>
      <c r="H190" s="13"/>
      <c r="I190" s="15" t="str">
        <f>=G190*J190</f>
      </c>
      <c r="J190" s="15" t="str">
        <f>IF(EXACT(K190,"V"),K$5,0)+IF(EXACT(L190,"V"),L$5,0)+IF(EXACT(M190,"V"),M$5,0)+IF(EXACT(N190,"V"),N$5,0)+IF(EXACT(O190,"V"),O$5,0)+IF(EXACT(P190,"V"),P$5,0)+IF(EXACT(Q190,"V"),Q$5,0)</f>
      </c>
      <c r="K190" s="17"/>
      <c r="L190" s="17"/>
      <c r="M190" s="17"/>
      <c r="N190" s="17"/>
      <c r="O190" s="17"/>
      <c r="P190" s="17"/>
      <c r="Q190" s="17"/>
      <c r="R190" s="15" t="s">
        <v>19</v>
      </c>
    </row>
    <row r="191">
      <c r="A191" s="6"/>
      <c r="B191" s="8" t="s">
        <v>762</v>
      </c>
      <c r="C191" s="8"/>
      <c r="D191" s="8" t="s">
        <v>763</v>
      </c>
      <c r="E191" s="8" t="s">
        <v>617</v>
      </c>
      <c r="F191" s="8" t="s">
        <v>764</v>
      </c>
      <c r="G191" s="6"/>
      <c r="H191" s="13"/>
      <c r="I191" s="15" t="str">
        <f>=G191*J191</f>
      </c>
      <c r="J191" s="15" t="str">
        <f>IF(EXACT(K191,"V"),K$5,0)+IF(EXACT(L191,"V"),L$5,0)+IF(EXACT(M191,"V"),M$5,0)+IF(EXACT(N191,"V"),N$5,0)+IF(EXACT(O191,"V"),O$5,0)+IF(EXACT(P191,"V"),P$5,0)+IF(EXACT(Q191,"V"),Q$5,0)</f>
      </c>
      <c r="K191" s="17"/>
      <c r="L191" s="17"/>
      <c r="M191" s="17"/>
      <c r="N191" s="17"/>
      <c r="O191" s="17"/>
      <c r="P191" s="17"/>
      <c r="Q191" s="17"/>
      <c r="R191" s="15" t="s">
        <v>19</v>
      </c>
    </row>
    <row r="192">
      <c r="A192" s="7" t="s">
        <v>765</v>
      </c>
      <c r="B192" s="9" t="s">
        <v>766</v>
      </c>
      <c r="C192" s="9"/>
      <c r="D192" s="9" t="s">
        <v>767</v>
      </c>
      <c r="E192" s="9" t="s">
        <v>126</v>
      </c>
      <c r="F192" s="9" t="s">
        <v>768</v>
      </c>
      <c r="G192" s="7">
        <v>4</v>
      </c>
      <c r="H192" s="14" t="s">
        <v>769</v>
      </c>
      <c r="I192" s="16" t="str">
        <f>=G192*J192</f>
      </c>
      <c r="J192" s="16" t="str">
        <f>IF(EXACT(K192,"V"),K$5,0)+IF(EXACT(L192,"V"),L$5,0)+IF(EXACT(M192,"V"),M$5,0)+IF(EXACT(N192,"V"),N$5,0)+IF(EXACT(O192,"V"),O$5,0)+IF(EXACT(P192,"V"),P$5,0)+IF(EXACT(Q192,"V"),Q$5,0)</f>
      </c>
      <c r="K192" s="18"/>
      <c r="L192" s="18"/>
      <c r="M192" s="18"/>
      <c r="N192" s="18"/>
      <c r="O192" s="18"/>
      <c r="P192" s="18"/>
      <c r="Q192" s="18"/>
      <c r="R192" s="16" t="s">
        <v>19</v>
      </c>
    </row>
    <row r="193">
      <c r="A193" s="7"/>
      <c r="B193" s="9" t="s">
        <v>770</v>
      </c>
      <c r="C193" s="9"/>
      <c r="D193" s="9" t="s">
        <v>771</v>
      </c>
      <c r="E193" s="9" t="s">
        <v>120</v>
      </c>
      <c r="F193" s="9" t="s">
        <v>772</v>
      </c>
      <c r="G193" s="7"/>
      <c r="H193" s="14"/>
      <c r="I193" s="16" t="str">
        <f>=G193*J193</f>
      </c>
      <c r="J193" s="16" t="str">
        <f>IF(EXACT(K193,"V"),K$5,0)+IF(EXACT(L193,"V"),L$5,0)+IF(EXACT(M193,"V"),M$5,0)+IF(EXACT(N193,"V"),N$5,0)+IF(EXACT(O193,"V"),O$5,0)+IF(EXACT(P193,"V"),P$5,0)+IF(EXACT(Q193,"V"),Q$5,0)</f>
      </c>
      <c r="K193" s="18"/>
      <c r="L193" s="18"/>
      <c r="M193" s="18"/>
      <c r="N193" s="18"/>
      <c r="O193" s="18"/>
      <c r="P193" s="18"/>
      <c r="Q193" s="18"/>
      <c r="R193" s="16" t="s">
        <v>19</v>
      </c>
    </row>
    <row r="194">
      <c r="A194" s="7"/>
      <c r="B194" s="9" t="s">
        <v>773</v>
      </c>
      <c r="C194" s="9"/>
      <c r="D194" s="9" t="s">
        <v>774</v>
      </c>
      <c r="E194" s="9" t="s">
        <v>775</v>
      </c>
      <c r="F194" s="9" t="s">
        <v>776</v>
      </c>
      <c r="G194" s="7"/>
      <c r="H194" s="14"/>
      <c r="I194" s="16" t="str">
        <f>=G194*J194</f>
      </c>
      <c r="J194" s="16" t="str">
        <f>IF(EXACT(K194,"V"),K$5,0)+IF(EXACT(L194,"V"),L$5,0)+IF(EXACT(M194,"V"),M$5,0)+IF(EXACT(N194,"V"),N$5,0)+IF(EXACT(O194,"V"),O$5,0)+IF(EXACT(P194,"V"),P$5,0)+IF(EXACT(Q194,"V"),Q$5,0)</f>
      </c>
      <c r="K194" s="18"/>
      <c r="L194" s="18"/>
      <c r="M194" s="18"/>
      <c r="N194" s="18"/>
      <c r="O194" s="18"/>
      <c r="P194" s="18"/>
      <c r="Q194" s="18"/>
      <c r="R194" s="16" t="s">
        <v>19</v>
      </c>
    </row>
    <row r="195">
      <c r="A195" s="7"/>
      <c r="B195" s="9" t="s">
        <v>777</v>
      </c>
      <c r="C195" s="9"/>
      <c r="D195" s="9" t="s">
        <v>778</v>
      </c>
      <c r="E195" s="9" t="s">
        <v>403</v>
      </c>
      <c r="F195" s="9" t="s">
        <v>779</v>
      </c>
      <c r="G195" s="7"/>
      <c r="H195" s="14"/>
      <c r="I195" s="16" t="str">
        <f>=G195*J195</f>
      </c>
      <c r="J195" s="16" t="str">
        <f>IF(EXACT(K195,"V"),K$5,0)+IF(EXACT(L195,"V"),L$5,0)+IF(EXACT(M195,"V"),M$5,0)+IF(EXACT(N195,"V"),N$5,0)+IF(EXACT(O195,"V"),O$5,0)+IF(EXACT(P195,"V"),P$5,0)+IF(EXACT(Q195,"V"),Q$5,0)</f>
      </c>
      <c r="K195" s="18"/>
      <c r="L195" s="18"/>
      <c r="M195" s="18"/>
      <c r="N195" s="18"/>
      <c r="O195" s="18"/>
      <c r="P195" s="18"/>
      <c r="Q195" s="18"/>
      <c r="R195" s="16" t="s">
        <v>19</v>
      </c>
    </row>
    <row r="196">
      <c r="A196" s="7"/>
      <c r="B196" s="9" t="s">
        <v>780</v>
      </c>
      <c r="C196" s="9"/>
      <c r="D196" s="9" t="s">
        <v>781</v>
      </c>
      <c r="E196" s="9" t="s">
        <v>407</v>
      </c>
      <c r="F196" s="9" t="s">
        <v>782</v>
      </c>
      <c r="G196" s="7"/>
      <c r="H196" s="14"/>
      <c r="I196" s="16" t="str">
        <f>=G196*J196</f>
      </c>
      <c r="J196" s="16" t="str">
        <f>IF(EXACT(K196,"V"),K$5,0)+IF(EXACT(L196,"V"),L$5,0)+IF(EXACT(M196,"V"),M$5,0)+IF(EXACT(N196,"V"),N$5,0)+IF(EXACT(O196,"V"),O$5,0)+IF(EXACT(P196,"V"),P$5,0)+IF(EXACT(Q196,"V"),Q$5,0)</f>
      </c>
      <c r="K196" s="18"/>
      <c r="L196" s="18"/>
      <c r="M196" s="18"/>
      <c r="N196" s="18"/>
      <c r="O196" s="18"/>
      <c r="P196" s="18"/>
      <c r="Q196" s="18"/>
      <c r="R196" s="16" t="s">
        <v>19</v>
      </c>
    </row>
    <row r="197">
      <c r="A197" s="6" t="s">
        <v>783</v>
      </c>
      <c r="B197" s="8" t="s">
        <v>784</v>
      </c>
      <c r="C197" s="8"/>
      <c r="D197" s="8" t="s">
        <v>785</v>
      </c>
      <c r="E197" s="8" t="s">
        <v>701</v>
      </c>
      <c r="F197" s="8" t="s">
        <v>786</v>
      </c>
      <c r="G197" s="6">
        <v>1</v>
      </c>
      <c r="H197" s="13" t="s">
        <v>787</v>
      </c>
      <c r="I197" s="15" t="str">
        <f>=G197*J197</f>
      </c>
      <c r="J197" s="15" t="str">
        <f>IF(EXACT(K197,"V"),K$5,0)+IF(EXACT(L197,"V"),L$5,0)+IF(EXACT(M197,"V"),M$5,0)+IF(EXACT(N197,"V"),N$5,0)+IF(EXACT(O197,"V"),O$5,0)+IF(EXACT(P197,"V"),P$5,0)+IF(EXACT(Q197,"V"),Q$5,0)</f>
      </c>
      <c r="K197" s="17"/>
      <c r="L197" s="17"/>
      <c r="M197" s="17"/>
      <c r="N197" s="17"/>
      <c r="O197" s="17"/>
      <c r="P197" s="17"/>
      <c r="Q197" s="17"/>
      <c r="R197" s="15" t="s">
        <v>19</v>
      </c>
    </row>
    <row r="198">
      <c r="A198" s="6"/>
      <c r="B198" s="8" t="s">
        <v>788</v>
      </c>
      <c r="C198" s="8"/>
      <c r="D198" s="8" t="s">
        <v>789</v>
      </c>
      <c r="E198" s="8" t="s">
        <v>689</v>
      </c>
      <c r="F198" s="8" t="s">
        <v>790</v>
      </c>
      <c r="G198" s="6"/>
      <c r="H198" s="13"/>
      <c r="I198" s="15" t="str">
        <f>=G198*J198</f>
      </c>
      <c r="J198" s="15" t="str">
        <f>IF(EXACT(K198,"V"),K$5,0)+IF(EXACT(L198,"V"),L$5,0)+IF(EXACT(M198,"V"),M$5,0)+IF(EXACT(N198,"V"),N$5,0)+IF(EXACT(O198,"V"),O$5,0)+IF(EXACT(P198,"V"),P$5,0)+IF(EXACT(Q198,"V"),Q$5,0)</f>
      </c>
      <c r="K198" s="17"/>
      <c r="L198" s="17"/>
      <c r="M198" s="17"/>
      <c r="N198" s="17"/>
      <c r="O198" s="17"/>
      <c r="P198" s="17"/>
      <c r="Q198" s="17"/>
      <c r="R198" s="15" t="s">
        <v>19</v>
      </c>
    </row>
    <row r="199">
      <c r="A199" s="6"/>
      <c r="B199" s="8" t="s">
        <v>791</v>
      </c>
      <c r="C199" s="8"/>
      <c r="D199" s="8" t="s">
        <v>792</v>
      </c>
      <c r="E199" s="8" t="s">
        <v>126</v>
      </c>
      <c r="F199" s="8" t="s">
        <v>793</v>
      </c>
      <c r="G199" s="6"/>
      <c r="H199" s="13"/>
      <c r="I199" s="15" t="str">
        <f>=G199*J199</f>
      </c>
      <c r="J199" s="15" t="str">
        <f>IF(EXACT(K199,"V"),K$5,0)+IF(EXACT(L199,"V"),L$5,0)+IF(EXACT(M199,"V"),M$5,0)+IF(EXACT(N199,"V"),N$5,0)+IF(EXACT(O199,"V"),O$5,0)+IF(EXACT(P199,"V"),P$5,0)+IF(EXACT(Q199,"V"),Q$5,0)</f>
      </c>
      <c r="K199" s="17"/>
      <c r="L199" s="17"/>
      <c r="M199" s="17"/>
      <c r="N199" s="17"/>
      <c r="O199" s="17"/>
      <c r="P199" s="17"/>
      <c r="Q199" s="17"/>
      <c r="R199" s="15" t="s">
        <v>19</v>
      </c>
    </row>
    <row r="200">
      <c r="A200" s="6"/>
      <c r="B200" s="8" t="s">
        <v>794</v>
      </c>
      <c r="C200" s="8"/>
      <c r="D200" s="8" t="s">
        <v>795</v>
      </c>
      <c r="E200" s="8" t="s">
        <v>796</v>
      </c>
      <c r="F200" s="8" t="s">
        <v>797</v>
      </c>
      <c r="G200" s="6"/>
      <c r="H200" s="13"/>
      <c r="I200" s="15" t="str">
        <f>=G200*J200</f>
      </c>
      <c r="J200" s="15" t="str">
        <f>IF(EXACT(K200,"V"),K$5,0)+IF(EXACT(L200,"V"),L$5,0)+IF(EXACT(M200,"V"),M$5,0)+IF(EXACT(N200,"V"),N$5,0)+IF(EXACT(O200,"V"),O$5,0)+IF(EXACT(P200,"V"),P$5,0)+IF(EXACT(Q200,"V"),Q$5,0)</f>
      </c>
      <c r="K200" s="17"/>
      <c r="L200" s="17"/>
      <c r="M200" s="17"/>
      <c r="N200" s="17"/>
      <c r="O200" s="17"/>
      <c r="P200" s="17"/>
      <c r="Q200" s="17"/>
      <c r="R200" s="15" t="s">
        <v>19</v>
      </c>
    </row>
    <row r="201">
      <c r="A201" s="7" t="s">
        <v>798</v>
      </c>
      <c r="B201" s="9" t="s">
        <v>799</v>
      </c>
      <c r="C201" s="9"/>
      <c r="D201" s="9" t="s">
        <v>800</v>
      </c>
      <c r="E201" s="9" t="s">
        <v>488</v>
      </c>
      <c r="F201" s="9" t="s">
        <v>801</v>
      </c>
      <c r="G201" s="7">
        <v>2</v>
      </c>
      <c r="H201" s="14" t="s">
        <v>802</v>
      </c>
      <c r="I201" s="16" t="str">
        <f>=G201*J201</f>
      </c>
      <c r="J201" s="16" t="str">
        <f>IF(EXACT(K201,"V"),K$5,0)+IF(EXACT(L201,"V"),L$5,0)+IF(EXACT(M201,"V"),M$5,0)+IF(EXACT(N201,"V"),N$5,0)+IF(EXACT(O201,"V"),O$5,0)+IF(EXACT(P201,"V"),P$5,0)+IF(EXACT(Q201,"V"),Q$5,0)</f>
      </c>
      <c r="K201" s="18"/>
      <c r="L201" s="18"/>
      <c r="M201" s="18"/>
      <c r="N201" s="18"/>
      <c r="O201" s="18"/>
      <c r="P201" s="18"/>
      <c r="Q201" s="18"/>
      <c r="R201" s="16" t="s">
        <v>19</v>
      </c>
    </row>
    <row r="202">
      <c r="A202" s="7"/>
      <c r="B202" s="9" t="s">
        <v>803</v>
      </c>
      <c r="C202" s="9"/>
      <c r="D202" s="9" t="s">
        <v>800</v>
      </c>
      <c r="E202" s="9" t="s">
        <v>492</v>
      </c>
      <c r="F202" s="9" t="s">
        <v>804</v>
      </c>
      <c r="G202" s="7"/>
      <c r="H202" s="14"/>
      <c r="I202" s="16" t="str">
        <f>=G202*J202</f>
      </c>
      <c r="J202" s="16" t="str">
        <f>IF(EXACT(K202,"V"),K$5,0)+IF(EXACT(L202,"V"),L$5,0)+IF(EXACT(M202,"V"),M$5,0)+IF(EXACT(N202,"V"),N$5,0)+IF(EXACT(O202,"V"),O$5,0)+IF(EXACT(P202,"V"),P$5,0)+IF(EXACT(Q202,"V"),Q$5,0)</f>
      </c>
      <c r="K202" s="18"/>
      <c r="L202" s="18"/>
      <c r="M202" s="18"/>
      <c r="N202" s="18"/>
      <c r="O202" s="18"/>
      <c r="P202" s="18"/>
      <c r="Q202" s="18"/>
      <c r="R202" s="16" t="s">
        <v>19</v>
      </c>
    </row>
    <row r="203">
      <c r="A203" s="7"/>
      <c r="B203" s="9" t="s">
        <v>805</v>
      </c>
      <c r="C203" s="9"/>
      <c r="D203" s="9" t="s">
        <v>800</v>
      </c>
      <c r="E203" s="9" t="s">
        <v>495</v>
      </c>
      <c r="F203" s="9" t="s">
        <v>806</v>
      </c>
      <c r="G203" s="7"/>
      <c r="H203" s="14"/>
      <c r="I203" s="16" t="str">
        <f>=G203*J203</f>
      </c>
      <c r="J203" s="16" t="str">
        <f>IF(EXACT(K203,"V"),K$5,0)+IF(EXACT(L203,"V"),L$5,0)+IF(EXACT(M203,"V"),M$5,0)+IF(EXACT(N203,"V"),N$5,0)+IF(EXACT(O203,"V"),O$5,0)+IF(EXACT(P203,"V"),P$5,0)+IF(EXACT(Q203,"V"),Q$5,0)</f>
      </c>
      <c r="K203" s="18"/>
      <c r="L203" s="18"/>
      <c r="M203" s="18"/>
      <c r="N203" s="18"/>
      <c r="O203" s="18"/>
      <c r="P203" s="18"/>
      <c r="Q203" s="18"/>
      <c r="R203" s="16" t="s">
        <v>19</v>
      </c>
    </row>
    <row r="204">
      <c r="A204" s="6" t="s">
        <v>807</v>
      </c>
      <c r="B204" s="8" t="s">
        <v>808</v>
      </c>
      <c r="C204" s="8"/>
      <c r="D204" s="8" t="s">
        <v>809</v>
      </c>
      <c r="E204" s="8" t="s">
        <v>566</v>
      </c>
      <c r="F204" s="8" t="s">
        <v>810</v>
      </c>
      <c r="G204" s="6">
        <v>1</v>
      </c>
      <c r="H204" s="13" t="s">
        <v>811</v>
      </c>
      <c r="I204" s="15" t="str">
        <f>=G204*J204</f>
      </c>
      <c r="J204" s="15" t="str">
        <f>IF(EXACT(K204,"V"),K$5,0)+IF(EXACT(L204,"V"),L$5,0)+IF(EXACT(M204,"V"),M$5,0)+IF(EXACT(N204,"V"),N$5,0)+IF(EXACT(O204,"V"),O$5,0)+IF(EXACT(P204,"V"),P$5,0)+IF(EXACT(Q204,"V"),Q$5,0)</f>
      </c>
      <c r="K204" s="17"/>
      <c r="L204" s="17"/>
      <c r="M204" s="17"/>
      <c r="N204" s="17"/>
      <c r="O204" s="17"/>
      <c r="P204" s="17"/>
      <c r="Q204" s="17"/>
      <c r="R204" s="15" t="s">
        <v>812</v>
      </c>
    </row>
    <row r="205">
      <c r="A205" s="6"/>
      <c r="B205" s="8" t="s">
        <v>813</v>
      </c>
      <c r="C205" s="8"/>
      <c r="D205" s="8" t="s">
        <v>814</v>
      </c>
      <c r="E205" s="8" t="s">
        <v>292</v>
      </c>
      <c r="F205" s="8" t="s">
        <v>815</v>
      </c>
      <c r="G205" s="6"/>
      <c r="H205" s="13"/>
      <c r="I205" s="15" t="str">
        <f>=G205*J205</f>
      </c>
      <c r="J205" s="15" t="str">
        <f>IF(EXACT(K205,"V"),K$5,0)+IF(EXACT(L205,"V"),L$5,0)+IF(EXACT(M205,"V"),M$5,0)+IF(EXACT(N205,"V"),N$5,0)+IF(EXACT(O205,"V"),O$5,0)+IF(EXACT(P205,"V"),P$5,0)+IF(EXACT(Q205,"V"),Q$5,0)</f>
      </c>
      <c r="K205" s="17"/>
      <c r="L205" s="17"/>
      <c r="M205" s="17"/>
      <c r="N205" s="17"/>
      <c r="O205" s="17"/>
      <c r="P205" s="17"/>
      <c r="Q205" s="17"/>
      <c r="R205" s="15" t="s">
        <v>816</v>
      </c>
    </row>
    <row r="206">
      <c r="A206" s="7" t="s">
        <v>817</v>
      </c>
      <c r="B206" s="9" t="s">
        <v>818</v>
      </c>
      <c r="C206" s="9"/>
      <c r="D206" s="9" t="s">
        <v>819</v>
      </c>
      <c r="E206" s="9" t="s">
        <v>820</v>
      </c>
      <c r="F206" s="9" t="s">
        <v>821</v>
      </c>
      <c r="G206" s="7">
        <v>1</v>
      </c>
      <c r="H206" s="14" t="s">
        <v>822</v>
      </c>
      <c r="I206" s="16" t="str">
        <f>=G206*J206</f>
      </c>
      <c r="J206" s="16" t="str">
        <f>IF(EXACT(K206,"V"),K$5,0)+IF(EXACT(L206,"V"),L$5,0)+IF(EXACT(M206,"V"),M$5,0)+IF(EXACT(N206,"V"),N$5,0)+IF(EXACT(O206,"V"),O$5,0)+IF(EXACT(P206,"V"),P$5,0)+IF(EXACT(Q206,"V"),Q$5,0)</f>
      </c>
      <c r="K206" s="18"/>
      <c r="L206" s="18"/>
      <c r="M206" s="18"/>
      <c r="N206" s="18"/>
      <c r="O206" s="18"/>
      <c r="P206" s="18"/>
      <c r="Q206" s="18"/>
      <c r="R206" s="16" t="s">
        <v>823</v>
      </c>
    </row>
    <row r="207">
      <c r="A207" s="7"/>
      <c r="B207" s="9" t="s">
        <v>824</v>
      </c>
      <c r="C207" s="9"/>
      <c r="D207" s="9" t="s">
        <v>819</v>
      </c>
      <c r="E207" s="9" t="s">
        <v>473</v>
      </c>
      <c r="F207" s="9" t="s">
        <v>825</v>
      </c>
      <c r="G207" s="7"/>
      <c r="H207" s="14"/>
      <c r="I207" s="16" t="str">
        <f>=G207*J207</f>
      </c>
      <c r="J207" s="16" t="str">
        <f>IF(EXACT(K207,"V"),K$5,0)+IF(EXACT(L207,"V"),L$5,0)+IF(EXACT(M207,"V"),M$5,0)+IF(EXACT(N207,"V"),N$5,0)+IF(EXACT(O207,"V"),O$5,0)+IF(EXACT(P207,"V"),P$5,0)+IF(EXACT(Q207,"V"),Q$5,0)</f>
      </c>
      <c r="K207" s="18"/>
      <c r="L207" s="18"/>
      <c r="M207" s="18"/>
      <c r="N207" s="18"/>
      <c r="O207" s="18"/>
      <c r="P207" s="18"/>
      <c r="Q207" s="18"/>
      <c r="R207" s="16" t="s">
        <v>826</v>
      </c>
    </row>
    <row r="208">
      <c r="A208" s="7"/>
      <c r="B208" s="9" t="s">
        <v>827</v>
      </c>
      <c r="C208" s="9"/>
      <c r="D208" s="9" t="s">
        <v>819</v>
      </c>
      <c r="E208" s="9" t="s">
        <v>572</v>
      </c>
      <c r="F208" s="9" t="s">
        <v>828</v>
      </c>
      <c r="G208" s="7"/>
      <c r="H208" s="14"/>
      <c r="I208" s="16" t="str">
        <f>=G208*J208</f>
      </c>
      <c r="J208" s="16" t="str">
        <f>IF(EXACT(K208,"V"),K$5,0)+IF(EXACT(L208,"V"),L$5,0)+IF(EXACT(M208,"V"),M$5,0)+IF(EXACT(N208,"V"),N$5,0)+IF(EXACT(O208,"V"),O$5,0)+IF(EXACT(P208,"V"),P$5,0)+IF(EXACT(Q208,"V"),Q$5,0)</f>
      </c>
      <c r="K208" s="18"/>
      <c r="L208" s="18"/>
      <c r="M208" s="18"/>
      <c r="N208" s="18"/>
      <c r="O208" s="18"/>
      <c r="P208" s="18"/>
      <c r="Q208" s="18"/>
      <c r="R208" s="16" t="s">
        <v>823</v>
      </c>
    </row>
    <row r="209">
      <c r="A209" s="6" t="s">
        <v>829</v>
      </c>
      <c r="B209" s="8" t="s">
        <v>830</v>
      </c>
      <c r="C209" s="8"/>
      <c r="D209" s="8" t="s">
        <v>831</v>
      </c>
      <c r="E209" s="8" t="s">
        <v>292</v>
      </c>
      <c r="F209" s="8" t="s">
        <v>832</v>
      </c>
      <c r="G209" s="6">
        <v>1</v>
      </c>
      <c r="H209" s="13" t="s">
        <v>833</v>
      </c>
      <c r="I209" s="15" t="str">
        <f>=G209*J209</f>
      </c>
      <c r="J209" s="15" t="str">
        <f>IF(EXACT(K209,"V"),K$5,0)+IF(EXACT(L209,"V"),L$5,0)+IF(EXACT(M209,"V"),M$5,0)+IF(EXACT(N209,"V"),N$5,0)+IF(EXACT(O209,"V"),O$5,0)+IF(EXACT(P209,"V"),P$5,0)+IF(EXACT(Q209,"V"),Q$5,0)</f>
      </c>
      <c r="K209" s="17"/>
      <c r="L209" s="17"/>
      <c r="M209" s="17"/>
      <c r="N209" s="17"/>
      <c r="O209" s="17"/>
      <c r="P209" s="17"/>
      <c r="Q209" s="17"/>
      <c r="R209" s="15" t="s">
        <v>516</v>
      </c>
    </row>
    <row r="210">
      <c r="A210" s="6"/>
      <c r="B210" s="8" t="s">
        <v>834</v>
      </c>
      <c r="C210" s="8"/>
      <c r="D210" s="8" t="s">
        <v>831</v>
      </c>
      <c r="E210" s="8" t="s">
        <v>558</v>
      </c>
      <c r="F210" s="8" t="s">
        <v>835</v>
      </c>
      <c r="G210" s="6"/>
      <c r="H210" s="13"/>
      <c r="I210" s="15" t="str">
        <f>=G210*J210</f>
      </c>
      <c r="J210" s="15" t="str">
        <f>IF(EXACT(K210,"V"),K$5,0)+IF(EXACT(L210,"V"),L$5,0)+IF(EXACT(M210,"V"),M$5,0)+IF(EXACT(N210,"V"),N$5,0)+IF(EXACT(O210,"V"),O$5,0)+IF(EXACT(P210,"V"),P$5,0)+IF(EXACT(Q210,"V"),Q$5,0)</f>
      </c>
      <c r="K210" s="17"/>
      <c r="L210" s="17"/>
      <c r="M210" s="17"/>
      <c r="N210" s="17"/>
      <c r="O210" s="17"/>
      <c r="P210" s="17"/>
      <c r="Q210" s="17"/>
      <c r="R210" s="15" t="s">
        <v>516</v>
      </c>
    </row>
    <row r="211">
      <c r="A211" s="6"/>
      <c r="B211" s="8" t="s">
        <v>836</v>
      </c>
      <c r="C211" s="8"/>
      <c r="D211" s="8" t="s">
        <v>831</v>
      </c>
      <c r="E211" s="8" t="s">
        <v>572</v>
      </c>
      <c r="F211" s="8" t="s">
        <v>837</v>
      </c>
      <c r="G211" s="6"/>
      <c r="H211" s="13"/>
      <c r="I211" s="15" t="str">
        <f>=G211*J211</f>
      </c>
      <c r="J211" s="15" t="str">
        <f>IF(EXACT(K211,"V"),K$5,0)+IF(EXACT(L211,"V"),L$5,0)+IF(EXACT(M211,"V"),M$5,0)+IF(EXACT(N211,"V"),N$5,0)+IF(EXACT(O211,"V"),O$5,0)+IF(EXACT(P211,"V"),P$5,0)+IF(EXACT(Q211,"V"),Q$5,0)</f>
      </c>
      <c r="K211" s="17"/>
      <c r="L211" s="17"/>
      <c r="M211" s="17"/>
      <c r="N211" s="17"/>
      <c r="O211" s="17"/>
      <c r="P211" s="17"/>
      <c r="Q211" s="17"/>
      <c r="R211" s="15" t="s">
        <v>516</v>
      </c>
    </row>
    <row r="212">
      <c r="A212" s="7" t="s">
        <v>838</v>
      </c>
      <c r="B212" s="9" t="s">
        <v>839</v>
      </c>
      <c r="C212" s="9"/>
      <c r="D212" s="9" t="s">
        <v>840</v>
      </c>
      <c r="E212" s="9" t="s">
        <v>292</v>
      </c>
      <c r="F212" s="9" t="s">
        <v>841</v>
      </c>
      <c r="G212" s="7">
        <v>2</v>
      </c>
      <c r="H212" s="14" t="s">
        <v>842</v>
      </c>
      <c r="I212" s="16" t="str">
        <f>=G212*J212</f>
      </c>
      <c r="J212" s="16" t="str">
        <f>IF(EXACT(K212,"V"),K$5,0)+IF(EXACT(L212,"V"),L$5,0)+IF(EXACT(M212,"V"),M$5,0)+IF(EXACT(N212,"V"),N$5,0)+IF(EXACT(O212,"V"),O$5,0)+IF(EXACT(P212,"V"),P$5,0)+IF(EXACT(Q212,"V"),Q$5,0)</f>
      </c>
      <c r="K212" s="18"/>
      <c r="L212" s="18"/>
      <c r="M212" s="18"/>
      <c r="N212" s="18"/>
      <c r="O212" s="18"/>
      <c r="P212" s="18"/>
      <c r="Q212" s="18"/>
      <c r="R212" s="16" t="s">
        <v>288</v>
      </c>
    </row>
    <row r="213">
      <c r="A213" s="6" t="s">
        <v>843</v>
      </c>
      <c r="B213" s="8" t="s">
        <v>844</v>
      </c>
      <c r="C213" s="8"/>
      <c r="D213" s="8" t="s">
        <v>845</v>
      </c>
      <c r="E213" s="8" t="s">
        <v>846</v>
      </c>
      <c r="F213" s="8" t="s">
        <v>847</v>
      </c>
      <c r="G213" s="6">
        <v>1</v>
      </c>
      <c r="H213" s="13" t="s">
        <v>848</v>
      </c>
      <c r="I213" s="15" t="str">
        <f>=G213*J213</f>
      </c>
      <c r="J213" s="15" t="str">
        <f>IF(EXACT(K213,"V"),K$5,0)+IF(EXACT(L213,"V"),L$5,0)+IF(EXACT(M213,"V"),M$5,0)+IF(EXACT(N213,"V"),N$5,0)+IF(EXACT(O213,"V"),O$5,0)+IF(EXACT(P213,"V"),P$5,0)+IF(EXACT(Q213,"V"),Q$5,0)</f>
      </c>
      <c r="K213" s="17"/>
      <c r="L213" s="17"/>
      <c r="M213" s="17"/>
      <c r="N213" s="17"/>
      <c r="O213" s="17"/>
      <c r="P213" s="17"/>
      <c r="Q213" s="17"/>
      <c r="R213" s="15" t="s">
        <v>19</v>
      </c>
    </row>
    <row r="214">
      <c r="A214" s="6"/>
      <c r="B214" s="8" t="s">
        <v>849</v>
      </c>
      <c r="C214" s="8"/>
      <c r="D214" s="8" t="s">
        <v>845</v>
      </c>
      <c r="E214" s="8" t="s">
        <v>850</v>
      </c>
      <c r="F214" s="8" t="s">
        <v>851</v>
      </c>
      <c r="G214" s="6"/>
      <c r="H214" s="13"/>
      <c r="I214" s="15" t="str">
        <f>=G214*J214</f>
      </c>
      <c r="J214" s="15" t="str">
        <f>IF(EXACT(K214,"V"),K$5,0)+IF(EXACT(L214,"V"),L$5,0)+IF(EXACT(M214,"V"),M$5,0)+IF(EXACT(N214,"V"),N$5,0)+IF(EXACT(O214,"V"),O$5,0)+IF(EXACT(P214,"V"),P$5,0)+IF(EXACT(Q214,"V"),Q$5,0)</f>
      </c>
      <c r="K214" s="17"/>
      <c r="L214" s="17"/>
      <c r="M214" s="17"/>
      <c r="N214" s="17"/>
      <c r="O214" s="17"/>
      <c r="P214" s="17"/>
      <c r="Q214" s="17"/>
      <c r="R214" s="15" t="s">
        <v>19</v>
      </c>
    </row>
    <row r="215">
      <c r="A215" s="6"/>
      <c r="B215" s="8" t="s">
        <v>852</v>
      </c>
      <c r="C215" s="8"/>
      <c r="D215" s="8" t="s">
        <v>845</v>
      </c>
      <c r="E215" s="8" t="s">
        <v>853</v>
      </c>
      <c r="F215" s="8" t="s">
        <v>854</v>
      </c>
      <c r="G215" s="6"/>
      <c r="H215" s="13"/>
      <c r="I215" s="15" t="str">
        <f>=G215*J215</f>
      </c>
      <c r="J215" s="15" t="str">
        <f>IF(EXACT(K215,"V"),K$5,0)+IF(EXACT(L215,"V"),L$5,0)+IF(EXACT(M215,"V"),M$5,0)+IF(EXACT(N215,"V"),N$5,0)+IF(EXACT(O215,"V"),O$5,0)+IF(EXACT(P215,"V"),P$5,0)+IF(EXACT(Q215,"V"),Q$5,0)</f>
      </c>
      <c r="K215" s="17"/>
      <c r="L215" s="17"/>
      <c r="M215" s="17"/>
      <c r="N215" s="17"/>
      <c r="O215" s="17"/>
      <c r="P215" s="17"/>
      <c r="Q215" s="17"/>
      <c r="R215" s="15" t="s">
        <v>19</v>
      </c>
    </row>
    <row r="216">
      <c r="A216" s="6"/>
      <c r="B216" s="8" t="s">
        <v>855</v>
      </c>
      <c r="C216" s="8"/>
      <c r="D216" s="8" t="s">
        <v>845</v>
      </c>
      <c r="E216" s="8" t="s">
        <v>856</v>
      </c>
      <c r="F216" s="8" t="s">
        <v>857</v>
      </c>
      <c r="G216" s="6"/>
      <c r="H216" s="13"/>
      <c r="I216" s="15" t="str">
        <f>=G216*J216</f>
      </c>
      <c r="J216" s="15" t="str">
        <f>IF(EXACT(K216,"V"),K$5,0)+IF(EXACT(L216,"V"),L$5,0)+IF(EXACT(M216,"V"),M$5,0)+IF(EXACT(N216,"V"),N$5,0)+IF(EXACT(O216,"V"),O$5,0)+IF(EXACT(P216,"V"),P$5,0)+IF(EXACT(Q216,"V"),Q$5,0)</f>
      </c>
      <c r="K216" s="17"/>
      <c r="L216" s="17"/>
      <c r="M216" s="17"/>
      <c r="N216" s="17"/>
      <c r="O216" s="17"/>
      <c r="P216" s="17"/>
      <c r="Q216" s="17"/>
      <c r="R216" s="15" t="s">
        <v>19</v>
      </c>
    </row>
    <row r="217">
      <c r="A217" s="7" t="s">
        <v>858</v>
      </c>
      <c r="B217" s="9" t="s">
        <v>859</v>
      </c>
      <c r="C217" s="9"/>
      <c r="D217" s="9" t="s">
        <v>860</v>
      </c>
      <c r="E217" s="9" t="s">
        <v>61</v>
      </c>
      <c r="F217" s="9" t="s">
        <v>861</v>
      </c>
      <c r="G217" s="7">
        <v>1</v>
      </c>
      <c r="H217" s="14" t="s">
        <v>862</v>
      </c>
      <c r="I217" s="16" t="str">
        <f>=G217*J217</f>
      </c>
      <c r="J217" s="16" t="str">
        <f>IF(EXACT(K217,"V"),K$5,0)+IF(EXACT(L217,"V"),L$5,0)+IF(EXACT(M217,"V"),M$5,0)+IF(EXACT(N217,"V"),N$5,0)+IF(EXACT(O217,"V"),O$5,0)+IF(EXACT(P217,"V"),P$5,0)+IF(EXACT(Q217,"V"),Q$5,0)</f>
      </c>
      <c r="K217" s="18"/>
      <c r="L217" s="18"/>
      <c r="M217" s="18"/>
      <c r="N217" s="18"/>
      <c r="O217" s="18"/>
      <c r="P217" s="18"/>
      <c r="Q217" s="18"/>
      <c r="R217" s="16" t="s">
        <v>19</v>
      </c>
    </row>
    <row r="218">
      <c r="A218" s="7"/>
      <c r="B218" s="9" t="s">
        <v>863</v>
      </c>
      <c r="C218" s="9"/>
      <c r="D218" s="9" t="s">
        <v>864</v>
      </c>
      <c r="E218" s="9" t="s">
        <v>197</v>
      </c>
      <c r="F218" s="9" t="s">
        <v>865</v>
      </c>
      <c r="G218" s="7"/>
      <c r="H218" s="14"/>
      <c r="I218" s="16" t="str">
        <f>=G218*J218</f>
      </c>
      <c r="J218" s="16" t="str">
        <f>IF(EXACT(K218,"V"),K$5,0)+IF(EXACT(L218,"V"),L$5,0)+IF(EXACT(M218,"V"),M$5,0)+IF(EXACT(N218,"V"),N$5,0)+IF(EXACT(O218,"V"),O$5,0)+IF(EXACT(P218,"V"),P$5,0)+IF(EXACT(Q218,"V"),Q$5,0)</f>
      </c>
      <c r="K218" s="18"/>
      <c r="L218" s="18"/>
      <c r="M218" s="18"/>
      <c r="N218" s="18"/>
      <c r="O218" s="18"/>
      <c r="P218" s="18"/>
      <c r="Q218" s="18"/>
      <c r="R218" s="16" t="s">
        <v>19</v>
      </c>
    </row>
    <row r="219">
      <c r="A219" s="7"/>
      <c r="B219" s="9" t="s">
        <v>866</v>
      </c>
      <c r="C219" s="9"/>
      <c r="D219" s="9" t="s">
        <v>864</v>
      </c>
      <c r="E219" s="9" t="s">
        <v>108</v>
      </c>
      <c r="F219" s="9" t="s">
        <v>867</v>
      </c>
      <c r="G219" s="7"/>
      <c r="H219" s="14"/>
      <c r="I219" s="16" t="str">
        <f>=G219*J219</f>
      </c>
      <c r="J219" s="16" t="str">
        <f>IF(EXACT(K219,"V"),K$5,0)+IF(EXACT(L219,"V"),L$5,0)+IF(EXACT(M219,"V"),M$5,0)+IF(EXACT(N219,"V"),N$5,0)+IF(EXACT(O219,"V"),O$5,0)+IF(EXACT(P219,"V"),P$5,0)+IF(EXACT(Q219,"V"),Q$5,0)</f>
      </c>
      <c r="K219" s="18"/>
      <c r="L219" s="18"/>
      <c r="M219" s="18"/>
      <c r="N219" s="18"/>
      <c r="O219" s="18"/>
      <c r="P219" s="18"/>
      <c r="Q219" s="18"/>
      <c r="R219" s="16" t="s">
        <v>19</v>
      </c>
    </row>
    <row r="220">
      <c r="A220" s="7"/>
      <c r="B220" s="9" t="s">
        <v>868</v>
      </c>
      <c r="C220" s="9"/>
      <c r="D220" s="9" t="s">
        <v>869</v>
      </c>
      <c r="E220" s="9" t="s">
        <v>126</v>
      </c>
      <c r="F220" s="9" t="s">
        <v>870</v>
      </c>
      <c r="G220" s="7"/>
      <c r="H220" s="14"/>
      <c r="I220" s="16" t="str">
        <f>=G220*J220</f>
      </c>
      <c r="J220" s="16" t="str">
        <f>IF(EXACT(K220,"V"),K$5,0)+IF(EXACT(L220,"V"),L$5,0)+IF(EXACT(M220,"V"),M$5,0)+IF(EXACT(N220,"V"),N$5,0)+IF(EXACT(O220,"V"),O$5,0)+IF(EXACT(P220,"V"),P$5,0)+IF(EXACT(Q220,"V"),Q$5,0)</f>
      </c>
      <c r="K220" s="18"/>
      <c r="L220" s="18"/>
      <c r="M220" s="18"/>
      <c r="N220" s="18"/>
      <c r="O220" s="18"/>
      <c r="P220" s="18"/>
      <c r="Q220" s="18"/>
      <c r="R220" s="16" t="s">
        <v>19</v>
      </c>
    </row>
    <row r="221">
      <c r="A221" s="7"/>
      <c r="B221" s="9" t="s">
        <v>871</v>
      </c>
      <c r="C221" s="9"/>
      <c r="D221" s="9" t="s">
        <v>872</v>
      </c>
      <c r="E221" s="9" t="s">
        <v>671</v>
      </c>
      <c r="F221" s="9" t="s">
        <v>873</v>
      </c>
      <c r="G221" s="7"/>
      <c r="H221" s="14"/>
      <c r="I221" s="16" t="str">
        <f>=G221*J221</f>
      </c>
      <c r="J221" s="16" t="str">
        <f>IF(EXACT(K221,"V"),K$5,0)+IF(EXACT(L221,"V"),L$5,0)+IF(EXACT(M221,"V"),M$5,0)+IF(EXACT(N221,"V"),N$5,0)+IF(EXACT(O221,"V"),O$5,0)+IF(EXACT(P221,"V"),P$5,0)+IF(EXACT(Q221,"V"),Q$5,0)</f>
      </c>
      <c r="K221" s="18"/>
      <c r="L221" s="18"/>
      <c r="M221" s="18"/>
      <c r="N221" s="18"/>
      <c r="O221" s="18"/>
      <c r="P221" s="18"/>
      <c r="Q221" s="18"/>
      <c r="R221" s="16" t="s">
        <v>19</v>
      </c>
    </row>
    <row r="222">
      <c r="A222" s="7"/>
      <c r="B222" s="9" t="s">
        <v>874</v>
      </c>
      <c r="C222" s="9"/>
      <c r="D222" s="9" t="s">
        <v>864</v>
      </c>
      <c r="E222" s="9" t="s">
        <v>416</v>
      </c>
      <c r="F222" s="9" t="s">
        <v>875</v>
      </c>
      <c r="G222" s="7"/>
      <c r="H222" s="14"/>
      <c r="I222" s="16" t="str">
        <f>=G222*J222</f>
      </c>
      <c r="J222" s="16" t="str">
        <f>IF(EXACT(K222,"V"),K$5,0)+IF(EXACT(L222,"V"),L$5,0)+IF(EXACT(M222,"V"),M$5,0)+IF(EXACT(N222,"V"),N$5,0)+IF(EXACT(O222,"V"),O$5,0)+IF(EXACT(P222,"V"),P$5,0)+IF(EXACT(Q222,"V"),Q$5,0)</f>
      </c>
      <c r="K222" s="18"/>
      <c r="L222" s="18"/>
      <c r="M222" s="18"/>
      <c r="N222" s="18"/>
      <c r="O222" s="18"/>
      <c r="P222" s="18"/>
      <c r="Q222" s="18"/>
      <c r="R222" s="16" t="s">
        <v>19</v>
      </c>
    </row>
    <row r="223">
      <c r="A223" s="7"/>
      <c r="B223" s="9" t="s">
        <v>876</v>
      </c>
      <c r="C223" s="9"/>
      <c r="D223" s="9" t="s">
        <v>877</v>
      </c>
      <c r="E223" s="9" t="s">
        <v>112</v>
      </c>
      <c r="F223" s="9" t="s">
        <v>878</v>
      </c>
      <c r="G223" s="7"/>
      <c r="H223" s="14"/>
      <c r="I223" s="16" t="str">
        <f>=G223*J223</f>
      </c>
      <c r="J223" s="16" t="str">
        <f>IF(EXACT(K223,"V"),K$5,0)+IF(EXACT(L223,"V"),L$5,0)+IF(EXACT(M223,"V"),M$5,0)+IF(EXACT(N223,"V"),N$5,0)+IF(EXACT(O223,"V"),O$5,0)+IF(EXACT(P223,"V"),P$5,0)+IF(EXACT(Q223,"V"),Q$5,0)</f>
      </c>
      <c r="K223" s="18"/>
      <c r="L223" s="18"/>
      <c r="M223" s="18"/>
      <c r="N223" s="18"/>
      <c r="O223" s="18"/>
      <c r="P223" s="18"/>
      <c r="Q223" s="18"/>
      <c r="R223" s="16" t="s">
        <v>19</v>
      </c>
    </row>
    <row r="224">
      <c r="A224" s="7"/>
      <c r="B224" s="9" t="s">
        <v>879</v>
      </c>
      <c r="C224" s="9"/>
      <c r="D224" s="9" t="s">
        <v>864</v>
      </c>
      <c r="E224" s="9" t="s">
        <v>115</v>
      </c>
      <c r="F224" s="9" t="s">
        <v>880</v>
      </c>
      <c r="G224" s="7"/>
      <c r="H224" s="14"/>
      <c r="I224" s="16" t="str">
        <f>=G224*J224</f>
      </c>
      <c r="J224" s="16" t="str">
        <f>IF(EXACT(K224,"V"),K$5,0)+IF(EXACT(L224,"V"),L$5,0)+IF(EXACT(M224,"V"),M$5,0)+IF(EXACT(N224,"V"),N$5,0)+IF(EXACT(O224,"V"),O$5,0)+IF(EXACT(P224,"V"),P$5,0)+IF(EXACT(Q224,"V"),Q$5,0)</f>
      </c>
      <c r="K224" s="18"/>
      <c r="L224" s="18"/>
      <c r="M224" s="18"/>
      <c r="N224" s="18"/>
      <c r="O224" s="18"/>
      <c r="P224" s="18"/>
      <c r="Q224" s="18"/>
      <c r="R224" s="16" t="s">
        <v>19</v>
      </c>
    </row>
    <row r="225">
      <c r="A225" s="6" t="s">
        <v>881</v>
      </c>
      <c r="B225" s="8" t="s">
        <v>882</v>
      </c>
      <c r="C225" s="8"/>
      <c r="D225" s="8" t="s">
        <v>883</v>
      </c>
      <c r="E225" s="8" t="s">
        <v>91</v>
      </c>
      <c r="F225" s="8" t="s">
        <v>884</v>
      </c>
      <c r="G225" s="6">
        <v>19</v>
      </c>
      <c r="H225" s="13" t="s">
        <v>885</v>
      </c>
      <c r="I225" s="15" t="str">
        <f>=G225*J225</f>
      </c>
      <c r="J225" s="15" t="str">
        <f>IF(EXACT(K225,"V"),K$5,0)+IF(EXACT(L225,"V"),L$5,0)+IF(EXACT(M225,"V"),M$5,0)+IF(EXACT(N225,"V"),N$5,0)+IF(EXACT(O225,"V"),O$5,0)+IF(EXACT(P225,"V"),P$5,0)+IF(EXACT(Q225,"V"),Q$5,0)</f>
      </c>
      <c r="K225" s="17"/>
      <c r="L225" s="17"/>
      <c r="M225" s="17"/>
      <c r="N225" s="17"/>
      <c r="O225" s="17"/>
      <c r="P225" s="17"/>
      <c r="Q225" s="17"/>
      <c r="R225" s="15" t="s">
        <v>19</v>
      </c>
    </row>
    <row r="226">
      <c r="A226" s="6"/>
      <c r="B226" s="8" t="s">
        <v>886</v>
      </c>
      <c r="C226" s="8"/>
      <c r="D226" s="8" t="s">
        <v>887</v>
      </c>
      <c r="E226" s="8" t="s">
        <v>28</v>
      </c>
      <c r="F226" s="8" t="s">
        <v>888</v>
      </c>
      <c r="G226" s="6"/>
      <c r="H226" s="13"/>
      <c r="I226" s="15" t="str">
        <f>=G226*J226</f>
      </c>
      <c r="J226" s="15" t="str">
        <f>IF(EXACT(K226,"V"),K$5,0)+IF(EXACT(L226,"V"),L$5,0)+IF(EXACT(M226,"V"),M$5,0)+IF(EXACT(N226,"V"),N$5,0)+IF(EXACT(O226,"V"),O$5,0)+IF(EXACT(P226,"V"),P$5,0)+IF(EXACT(Q226,"V"),Q$5,0)</f>
      </c>
      <c r="K226" s="17"/>
      <c r="L226" s="17"/>
      <c r="M226" s="17"/>
      <c r="N226" s="17"/>
      <c r="O226" s="17"/>
      <c r="P226" s="17"/>
      <c r="Q226" s="17"/>
      <c r="R226" s="15" t="s">
        <v>19</v>
      </c>
    </row>
    <row r="227">
      <c r="A227" s="6"/>
      <c r="B227" s="8" t="s">
        <v>889</v>
      </c>
      <c r="C227" s="8"/>
      <c r="D227" s="8" t="s">
        <v>890</v>
      </c>
      <c r="E227" s="8" t="s">
        <v>95</v>
      </c>
      <c r="F227" s="8" t="s">
        <v>891</v>
      </c>
      <c r="G227" s="6"/>
      <c r="H227" s="13"/>
      <c r="I227" s="15" t="str">
        <f>=G227*J227</f>
      </c>
      <c r="J227" s="15" t="str">
        <f>IF(EXACT(K227,"V"),K$5,0)+IF(EXACT(L227,"V"),L$5,0)+IF(EXACT(M227,"V"),M$5,0)+IF(EXACT(N227,"V"),N$5,0)+IF(EXACT(O227,"V"),O$5,0)+IF(EXACT(P227,"V"),P$5,0)+IF(EXACT(Q227,"V"),Q$5,0)</f>
      </c>
      <c r="K227" s="17"/>
      <c r="L227" s="17"/>
      <c r="M227" s="17"/>
      <c r="N227" s="17"/>
      <c r="O227" s="17"/>
      <c r="P227" s="17"/>
      <c r="Q227" s="17"/>
      <c r="R227" s="15" t="s">
        <v>19</v>
      </c>
    </row>
    <row r="228">
      <c r="A228" s="6"/>
      <c r="B228" s="8" t="s">
        <v>892</v>
      </c>
      <c r="C228" s="8"/>
      <c r="D228" s="8" t="s">
        <v>893</v>
      </c>
      <c r="E228" s="8" t="s">
        <v>99</v>
      </c>
      <c r="F228" s="8" t="s">
        <v>894</v>
      </c>
      <c r="G228" s="6"/>
      <c r="H228" s="13"/>
      <c r="I228" s="15" t="str">
        <f>=G228*J228</f>
      </c>
      <c r="J228" s="15" t="str">
        <f>IF(EXACT(K228,"V"),K$5,0)+IF(EXACT(L228,"V"),L$5,0)+IF(EXACT(M228,"V"),M$5,0)+IF(EXACT(N228,"V"),N$5,0)+IF(EXACT(O228,"V"),O$5,0)+IF(EXACT(P228,"V"),P$5,0)+IF(EXACT(Q228,"V"),Q$5,0)</f>
      </c>
      <c r="K228" s="17"/>
      <c r="L228" s="17"/>
      <c r="M228" s="17"/>
      <c r="N228" s="17"/>
      <c r="O228" s="17"/>
      <c r="P228" s="17"/>
      <c r="Q228" s="17"/>
      <c r="R228" s="15" t="s">
        <v>19</v>
      </c>
    </row>
    <row r="229">
      <c r="A229" s="7" t="s">
        <v>895</v>
      </c>
      <c r="B229" s="9" t="s">
        <v>896</v>
      </c>
      <c r="C229" s="9"/>
      <c r="D229" s="9" t="s">
        <v>897</v>
      </c>
      <c r="E229" s="9" t="s">
        <v>91</v>
      </c>
      <c r="F229" s="9" t="s">
        <v>898</v>
      </c>
      <c r="G229" s="7">
        <v>5</v>
      </c>
      <c r="H229" s="14" t="s">
        <v>899</v>
      </c>
      <c r="I229" s="16" t="str">
        <f>=G229*J229</f>
      </c>
      <c r="J229" s="16" t="str">
        <f>IF(EXACT(K229,"V"),K$5,0)+IF(EXACT(L229,"V"),L$5,0)+IF(EXACT(M229,"V"),M$5,0)+IF(EXACT(N229,"V"),N$5,0)+IF(EXACT(O229,"V"),O$5,0)+IF(EXACT(P229,"V"),P$5,0)+IF(EXACT(Q229,"V"),Q$5,0)</f>
      </c>
      <c r="K229" s="18"/>
      <c r="L229" s="18"/>
      <c r="M229" s="18"/>
      <c r="N229" s="18"/>
      <c r="O229" s="18"/>
      <c r="P229" s="18"/>
      <c r="Q229" s="18"/>
      <c r="R229" s="16" t="s">
        <v>19</v>
      </c>
    </row>
    <row r="230">
      <c r="A230" s="7"/>
      <c r="B230" s="9" t="s">
        <v>900</v>
      </c>
      <c r="C230" s="9"/>
      <c r="D230" s="9" t="s">
        <v>901</v>
      </c>
      <c r="E230" s="9" t="s">
        <v>28</v>
      </c>
      <c r="F230" s="9" t="s">
        <v>902</v>
      </c>
      <c r="G230" s="7"/>
      <c r="H230" s="14"/>
      <c r="I230" s="16" t="str">
        <f>=G230*J230</f>
      </c>
      <c r="J230" s="16" t="str">
        <f>IF(EXACT(K230,"V"),K$5,0)+IF(EXACT(L230,"V"),L$5,0)+IF(EXACT(M230,"V"),M$5,0)+IF(EXACT(N230,"V"),N$5,0)+IF(EXACT(O230,"V"),O$5,0)+IF(EXACT(P230,"V"),P$5,0)+IF(EXACT(Q230,"V"),Q$5,0)</f>
      </c>
      <c r="K230" s="18"/>
      <c r="L230" s="18"/>
      <c r="M230" s="18"/>
      <c r="N230" s="18"/>
      <c r="O230" s="18"/>
      <c r="P230" s="18"/>
      <c r="Q230" s="18"/>
      <c r="R230" s="16" t="s">
        <v>19</v>
      </c>
    </row>
    <row r="231">
      <c r="A231" s="7"/>
      <c r="B231" s="9" t="s">
        <v>903</v>
      </c>
      <c r="C231" s="9"/>
      <c r="D231" s="9" t="s">
        <v>904</v>
      </c>
      <c r="E231" s="9" t="s">
        <v>99</v>
      </c>
      <c r="F231" s="9" t="s">
        <v>905</v>
      </c>
      <c r="G231" s="7"/>
      <c r="H231" s="14"/>
      <c r="I231" s="16" t="str">
        <f>=G231*J231</f>
      </c>
      <c r="J231" s="16" t="str">
        <f>IF(EXACT(K231,"V"),K$5,0)+IF(EXACT(L231,"V"),L$5,0)+IF(EXACT(M231,"V"),M$5,0)+IF(EXACT(N231,"V"),N$5,0)+IF(EXACT(O231,"V"),O$5,0)+IF(EXACT(P231,"V"),P$5,0)+IF(EXACT(Q231,"V"),Q$5,0)</f>
      </c>
      <c r="K231" s="18"/>
      <c r="L231" s="18"/>
      <c r="M231" s="18"/>
      <c r="N231" s="18"/>
      <c r="O231" s="18"/>
      <c r="P231" s="18"/>
      <c r="Q231" s="18"/>
      <c r="R231" s="16" t="s">
        <v>19</v>
      </c>
    </row>
    <row r="232">
      <c r="A232" s="6" t="s">
        <v>906</v>
      </c>
      <c r="B232" s="8" t="s">
        <v>907</v>
      </c>
      <c r="C232" s="8"/>
      <c r="D232" s="8" t="s">
        <v>908</v>
      </c>
      <c r="E232" s="8" t="s">
        <v>91</v>
      </c>
      <c r="F232" s="8" t="s">
        <v>909</v>
      </c>
      <c r="G232" s="6">
        <v>2</v>
      </c>
      <c r="H232" s="13" t="s">
        <v>910</v>
      </c>
      <c r="I232" s="15" t="str">
        <f>=G232*J232</f>
      </c>
      <c r="J232" s="15" t="str">
        <f>IF(EXACT(K232,"V"),K$5,0)+IF(EXACT(L232,"V"),L$5,0)+IF(EXACT(M232,"V"),M$5,0)+IF(EXACT(N232,"V"),N$5,0)+IF(EXACT(O232,"V"),O$5,0)+IF(EXACT(P232,"V"),P$5,0)+IF(EXACT(Q232,"V"),Q$5,0)</f>
      </c>
      <c r="K232" s="17"/>
      <c r="L232" s="17"/>
      <c r="M232" s="17"/>
      <c r="N232" s="17"/>
      <c r="O232" s="17"/>
      <c r="P232" s="17"/>
      <c r="Q232" s="17"/>
      <c r="R232" s="15" t="s">
        <v>19</v>
      </c>
    </row>
    <row r="233">
      <c r="A233" s="6"/>
      <c r="B233" s="8" t="s">
        <v>911</v>
      </c>
      <c r="C233" s="8"/>
      <c r="D233" s="8" t="s">
        <v>912</v>
      </c>
      <c r="E233" s="8" t="s">
        <v>28</v>
      </c>
      <c r="F233" s="8" t="s">
        <v>913</v>
      </c>
      <c r="G233" s="6"/>
      <c r="H233" s="13"/>
      <c r="I233" s="15" t="str">
        <f>=G233*J233</f>
      </c>
      <c r="J233" s="15" t="str">
        <f>IF(EXACT(K233,"V"),K$5,0)+IF(EXACT(L233,"V"),L$5,0)+IF(EXACT(M233,"V"),M$5,0)+IF(EXACT(N233,"V"),N$5,0)+IF(EXACT(O233,"V"),O$5,0)+IF(EXACT(P233,"V"),P$5,0)+IF(EXACT(Q233,"V"),Q$5,0)</f>
      </c>
      <c r="K233" s="17"/>
      <c r="L233" s="17"/>
      <c r="M233" s="17"/>
      <c r="N233" s="17"/>
      <c r="O233" s="17"/>
      <c r="P233" s="17"/>
      <c r="Q233" s="17"/>
      <c r="R233" s="15" t="s">
        <v>19</v>
      </c>
    </row>
    <row r="234">
      <c r="A234" s="6"/>
      <c r="B234" s="8" t="s">
        <v>914</v>
      </c>
      <c r="C234" s="8"/>
      <c r="D234" s="8" t="s">
        <v>915</v>
      </c>
      <c r="E234" s="8" t="s">
        <v>95</v>
      </c>
      <c r="F234" s="8" t="s">
        <v>916</v>
      </c>
      <c r="G234" s="6"/>
      <c r="H234" s="13"/>
      <c r="I234" s="15" t="str">
        <f>=G234*J234</f>
      </c>
      <c r="J234" s="15" t="str">
        <f>IF(EXACT(K234,"V"),K$5,0)+IF(EXACT(L234,"V"),L$5,0)+IF(EXACT(M234,"V"),M$5,0)+IF(EXACT(N234,"V"),N$5,0)+IF(EXACT(O234,"V"),O$5,0)+IF(EXACT(P234,"V"),P$5,0)+IF(EXACT(Q234,"V"),Q$5,0)</f>
      </c>
      <c r="K234" s="17"/>
      <c r="L234" s="17"/>
      <c r="M234" s="17"/>
      <c r="N234" s="17"/>
      <c r="O234" s="17"/>
      <c r="P234" s="17"/>
      <c r="Q234" s="17"/>
      <c r="R234" s="15" t="s">
        <v>19</v>
      </c>
    </row>
    <row r="235">
      <c r="A235" s="6"/>
      <c r="B235" s="8" t="s">
        <v>917</v>
      </c>
      <c r="C235" s="8"/>
      <c r="D235" s="8" t="s">
        <v>912</v>
      </c>
      <c r="E235" s="8" t="s">
        <v>99</v>
      </c>
      <c r="F235" s="8" t="s">
        <v>918</v>
      </c>
      <c r="G235" s="6"/>
      <c r="H235" s="13"/>
      <c r="I235" s="15" t="str">
        <f>=G235*J235</f>
      </c>
      <c r="J235" s="15" t="str">
        <f>IF(EXACT(K235,"V"),K$5,0)+IF(EXACT(L235,"V"),L$5,0)+IF(EXACT(M235,"V"),M$5,0)+IF(EXACT(N235,"V"),N$5,0)+IF(EXACT(O235,"V"),O$5,0)+IF(EXACT(P235,"V"),P$5,0)+IF(EXACT(Q235,"V"),Q$5,0)</f>
      </c>
      <c r="K235" s="17"/>
      <c r="L235" s="17"/>
      <c r="M235" s="17"/>
      <c r="N235" s="17"/>
      <c r="O235" s="17"/>
      <c r="P235" s="17"/>
      <c r="Q235" s="17"/>
      <c r="R235" s="15" t="s">
        <v>19</v>
      </c>
    </row>
    <row r="236">
      <c r="A236" s="7" t="s">
        <v>919</v>
      </c>
      <c r="B236" s="9" t="s">
        <v>920</v>
      </c>
      <c r="C236" s="9"/>
      <c r="D236" s="9" t="s">
        <v>921</v>
      </c>
      <c r="E236" s="9" t="s">
        <v>357</v>
      </c>
      <c r="F236" s="9" t="s">
        <v>922</v>
      </c>
      <c r="G236" s="7">
        <v>12</v>
      </c>
      <c r="H236" s="14" t="s">
        <v>923</v>
      </c>
      <c r="I236" s="16" t="str">
        <f>=G236*J236</f>
      </c>
      <c r="J236" s="16" t="str">
        <f>IF(EXACT(K236,"V"),K$5,0)+IF(EXACT(L236,"V"),L$5,0)+IF(EXACT(M236,"V"),M$5,0)+IF(EXACT(N236,"V"),N$5,0)+IF(EXACT(O236,"V"),O$5,0)+IF(EXACT(P236,"V"),P$5,0)+IF(EXACT(Q236,"V"),Q$5,0)</f>
      </c>
      <c r="K236" s="18"/>
      <c r="L236" s="18"/>
      <c r="M236" s="18"/>
      <c r="N236" s="18"/>
      <c r="O236" s="18"/>
      <c r="P236" s="18"/>
      <c r="Q236" s="18"/>
      <c r="R236" s="16" t="s">
        <v>19</v>
      </c>
    </row>
    <row r="237">
      <c r="A237" s="7"/>
      <c r="B237" s="9" t="s">
        <v>924</v>
      </c>
      <c r="C237" s="9"/>
      <c r="D237" s="9" t="s">
        <v>921</v>
      </c>
      <c r="E237" s="9" t="s">
        <v>925</v>
      </c>
      <c r="F237" s="9" t="s">
        <v>926</v>
      </c>
      <c r="G237" s="7"/>
      <c r="H237" s="14"/>
      <c r="I237" s="16" t="str">
        <f>=G237*J237</f>
      </c>
      <c r="J237" s="16" t="str">
        <f>IF(EXACT(K237,"V"),K$5,0)+IF(EXACT(L237,"V"),L$5,0)+IF(EXACT(M237,"V"),M$5,0)+IF(EXACT(N237,"V"),N$5,0)+IF(EXACT(O237,"V"),O$5,0)+IF(EXACT(P237,"V"),P$5,0)+IF(EXACT(Q237,"V"),Q$5,0)</f>
      </c>
      <c r="K237" s="18"/>
      <c r="L237" s="18"/>
      <c r="M237" s="18"/>
      <c r="N237" s="18"/>
      <c r="O237" s="18"/>
      <c r="P237" s="18"/>
      <c r="Q237" s="18"/>
      <c r="R237" s="16" t="s">
        <v>19</v>
      </c>
    </row>
    <row r="238">
      <c r="A238" s="7"/>
      <c r="B238" s="9" t="s">
        <v>927</v>
      </c>
      <c r="C238" s="9"/>
      <c r="D238" s="9" t="s">
        <v>921</v>
      </c>
      <c r="E238" s="9" t="s">
        <v>928</v>
      </c>
      <c r="F238" s="9" t="s">
        <v>929</v>
      </c>
      <c r="G238" s="7"/>
      <c r="H238" s="14"/>
      <c r="I238" s="16" t="str">
        <f>=G238*J238</f>
      </c>
      <c r="J238" s="16" t="str">
        <f>IF(EXACT(K238,"V"),K$5,0)+IF(EXACT(L238,"V"),L$5,0)+IF(EXACT(M238,"V"),M$5,0)+IF(EXACT(N238,"V"),N$5,0)+IF(EXACT(O238,"V"),O$5,0)+IF(EXACT(P238,"V"),P$5,0)+IF(EXACT(Q238,"V"),Q$5,0)</f>
      </c>
      <c r="K238" s="18"/>
      <c r="L238" s="18"/>
      <c r="M238" s="18"/>
      <c r="N238" s="18"/>
      <c r="O238" s="18"/>
      <c r="P238" s="18"/>
      <c r="Q238" s="18"/>
      <c r="R238" s="16" t="s">
        <v>19</v>
      </c>
    </row>
    <row r="239">
      <c r="A239" s="6" t="s">
        <v>930</v>
      </c>
      <c r="B239" s="8" t="s">
        <v>931</v>
      </c>
      <c r="C239" s="8"/>
      <c r="D239" s="8" t="s">
        <v>932</v>
      </c>
      <c r="E239" s="8" t="s">
        <v>933</v>
      </c>
      <c r="F239" s="8" t="s">
        <v>934</v>
      </c>
      <c r="G239" s="6">
        <v>1</v>
      </c>
      <c r="H239" s="13" t="s">
        <v>935</v>
      </c>
      <c r="I239" s="15" t="str">
        <f>=G239*J239</f>
      </c>
      <c r="J239" s="15" t="str">
        <f>IF(EXACT(K239,"V"),K$5,0)+IF(EXACT(L239,"V"),L$5,0)+IF(EXACT(M239,"V"),M$5,0)+IF(EXACT(N239,"V"),N$5,0)+IF(EXACT(O239,"V"),O$5,0)+IF(EXACT(P239,"V"),P$5,0)+IF(EXACT(Q239,"V"),Q$5,0)</f>
      </c>
      <c r="K239" s="17"/>
      <c r="L239" s="17"/>
      <c r="M239" s="17"/>
      <c r="N239" s="17"/>
      <c r="O239" s="17"/>
      <c r="P239" s="17"/>
      <c r="Q239" s="17"/>
      <c r="R239" s="15" t="s">
        <v>19</v>
      </c>
    </row>
    <row r="240">
      <c r="A240" s="6"/>
      <c r="B240" s="8" t="s">
        <v>936</v>
      </c>
      <c r="C240" s="8"/>
      <c r="D240" s="8" t="s">
        <v>937</v>
      </c>
      <c r="E240" s="8" t="s">
        <v>925</v>
      </c>
      <c r="F240" s="8" t="s">
        <v>938</v>
      </c>
      <c r="G240" s="6"/>
      <c r="H240" s="13"/>
      <c r="I240" s="15" t="str">
        <f>=G240*J240</f>
      </c>
      <c r="J240" s="15" t="str">
        <f>IF(EXACT(K240,"V"),K$5,0)+IF(EXACT(L240,"V"),L$5,0)+IF(EXACT(M240,"V"),M$5,0)+IF(EXACT(N240,"V"),N$5,0)+IF(EXACT(O240,"V"),O$5,0)+IF(EXACT(P240,"V"),P$5,0)+IF(EXACT(Q240,"V"),Q$5,0)</f>
      </c>
      <c r="K240" s="17"/>
      <c r="L240" s="17"/>
      <c r="M240" s="17"/>
      <c r="N240" s="17"/>
      <c r="O240" s="17"/>
      <c r="P240" s="17"/>
      <c r="Q240" s="17"/>
      <c r="R240" s="15" t="s">
        <v>19</v>
      </c>
    </row>
    <row r="241">
      <c r="A241" s="6"/>
      <c r="B241" s="8" t="s">
        <v>939</v>
      </c>
      <c r="C241" s="8"/>
      <c r="D241" s="8" t="s">
        <v>932</v>
      </c>
      <c r="E241" s="8" t="s">
        <v>940</v>
      </c>
      <c r="F241" s="8" t="s">
        <v>941</v>
      </c>
      <c r="G241" s="6"/>
      <c r="H241" s="13"/>
      <c r="I241" s="15" t="str">
        <f>=G241*J241</f>
      </c>
      <c r="J241" s="15" t="str">
        <f>IF(EXACT(K241,"V"),K$5,0)+IF(EXACT(L241,"V"),L$5,0)+IF(EXACT(M241,"V"),M$5,0)+IF(EXACT(N241,"V"),N$5,0)+IF(EXACT(O241,"V"),O$5,0)+IF(EXACT(P241,"V"),P$5,0)+IF(EXACT(Q241,"V"),Q$5,0)</f>
      </c>
      <c r="K241" s="17"/>
      <c r="L241" s="17"/>
      <c r="M241" s="17"/>
      <c r="N241" s="17"/>
      <c r="O241" s="17"/>
      <c r="P241" s="17"/>
      <c r="Q241" s="17"/>
      <c r="R241" s="15" t="s">
        <v>19</v>
      </c>
    </row>
    <row r="242">
      <c r="A242" s="6"/>
      <c r="B242" s="8" t="s">
        <v>942</v>
      </c>
      <c r="C242" s="8"/>
      <c r="D242" s="8" t="s">
        <v>932</v>
      </c>
      <c r="E242" s="8" t="s">
        <v>928</v>
      </c>
      <c r="F242" s="8" t="s">
        <v>943</v>
      </c>
      <c r="G242" s="6"/>
      <c r="H242" s="13"/>
      <c r="I242" s="15" t="str">
        <f>=G242*J242</f>
      </c>
      <c r="J242" s="15" t="str">
        <f>IF(EXACT(K242,"V"),K$5,0)+IF(EXACT(L242,"V"),L$5,0)+IF(EXACT(M242,"V"),M$5,0)+IF(EXACT(N242,"V"),N$5,0)+IF(EXACT(O242,"V"),O$5,0)+IF(EXACT(P242,"V"),P$5,0)+IF(EXACT(Q242,"V"),Q$5,0)</f>
      </c>
      <c r="K242" s="17"/>
      <c r="L242" s="17"/>
      <c r="M242" s="17"/>
      <c r="N242" s="17"/>
      <c r="O242" s="17"/>
      <c r="P242" s="17"/>
      <c r="Q242" s="17"/>
      <c r="R242" s="15" t="s">
        <v>19</v>
      </c>
    </row>
    <row r="243">
      <c r="A243" s="7" t="s">
        <v>944</v>
      </c>
      <c r="B243" s="9" t="s">
        <v>945</v>
      </c>
      <c r="C243" s="9"/>
      <c r="D243" s="9" t="s">
        <v>937</v>
      </c>
      <c r="E243" s="9" t="s">
        <v>946</v>
      </c>
      <c r="F243" s="9" t="s">
        <v>947</v>
      </c>
      <c r="G243" s="7">
        <v>3</v>
      </c>
      <c r="H243" s="14" t="s">
        <v>948</v>
      </c>
      <c r="I243" s="16" t="str">
        <f>=G243*J243</f>
      </c>
      <c r="J243" s="16" t="str">
        <f>IF(EXACT(K243,"V"),K$5,0)+IF(EXACT(L243,"V"),L$5,0)+IF(EXACT(M243,"V"),M$5,0)+IF(EXACT(N243,"V"),N$5,0)+IF(EXACT(O243,"V"),O$5,0)+IF(EXACT(P243,"V"),P$5,0)+IF(EXACT(Q243,"V"),Q$5,0)</f>
      </c>
      <c r="K243" s="18"/>
      <c r="L243" s="18"/>
      <c r="M243" s="18"/>
      <c r="N243" s="18"/>
      <c r="O243" s="18"/>
      <c r="P243" s="18"/>
      <c r="Q243" s="18"/>
      <c r="R243" s="16" t="s">
        <v>19</v>
      </c>
    </row>
    <row r="244">
      <c r="A244" s="7"/>
      <c r="B244" s="9" t="s">
        <v>949</v>
      </c>
      <c r="C244" s="9"/>
      <c r="D244" s="9" t="s">
        <v>950</v>
      </c>
      <c r="E244" s="9" t="s">
        <v>951</v>
      </c>
      <c r="F244" s="9" t="s">
        <v>952</v>
      </c>
      <c r="G244" s="7"/>
      <c r="H244" s="14"/>
      <c r="I244" s="16" t="str">
        <f>=G244*J244</f>
      </c>
      <c r="J244" s="16" t="str">
        <f>IF(EXACT(K244,"V"),K$5,0)+IF(EXACT(L244,"V"),L$5,0)+IF(EXACT(M244,"V"),M$5,0)+IF(EXACT(N244,"V"),N$5,0)+IF(EXACT(O244,"V"),O$5,0)+IF(EXACT(P244,"V"),P$5,0)+IF(EXACT(Q244,"V"),Q$5,0)</f>
      </c>
      <c r="K244" s="18"/>
      <c r="L244" s="18"/>
      <c r="M244" s="18"/>
      <c r="N244" s="18"/>
      <c r="O244" s="18"/>
      <c r="P244" s="18"/>
      <c r="Q244" s="18"/>
      <c r="R244" s="16" t="s">
        <v>19</v>
      </c>
    </row>
    <row r="245">
      <c r="A245" s="7"/>
      <c r="B245" s="9" t="s">
        <v>953</v>
      </c>
      <c r="C245" s="9"/>
      <c r="D245" s="9" t="s">
        <v>937</v>
      </c>
      <c r="E245" s="9" t="s">
        <v>933</v>
      </c>
      <c r="F245" s="9" t="s">
        <v>954</v>
      </c>
      <c r="G245" s="7"/>
      <c r="H245" s="14"/>
      <c r="I245" s="16" t="str">
        <f>=G245*J245</f>
      </c>
      <c r="J245" s="16" t="str">
        <f>IF(EXACT(K245,"V"),K$5,0)+IF(EXACT(L245,"V"),L$5,0)+IF(EXACT(M245,"V"),M$5,0)+IF(EXACT(N245,"V"),N$5,0)+IF(EXACT(O245,"V"),O$5,0)+IF(EXACT(P245,"V"),P$5,0)+IF(EXACT(Q245,"V"),Q$5,0)</f>
      </c>
      <c r="K245" s="18"/>
      <c r="L245" s="18"/>
      <c r="M245" s="18"/>
      <c r="N245" s="18"/>
      <c r="O245" s="18"/>
      <c r="P245" s="18"/>
      <c r="Q245" s="18"/>
      <c r="R245" s="16" t="s">
        <v>19</v>
      </c>
    </row>
    <row r="246">
      <c r="A246" s="6" t="s">
        <v>955</v>
      </c>
      <c r="B246" s="8" t="s">
        <v>956</v>
      </c>
      <c r="C246" s="8"/>
      <c r="D246" s="8" t="s">
        <v>957</v>
      </c>
      <c r="E246" s="8" t="s">
        <v>933</v>
      </c>
      <c r="F246" s="8" t="s">
        <v>958</v>
      </c>
      <c r="G246" s="6">
        <v>1</v>
      </c>
      <c r="H246" s="13" t="s">
        <v>959</v>
      </c>
      <c r="I246" s="15" t="str">
        <f>=G246*J246</f>
      </c>
      <c r="J246" s="15" t="str">
        <f>IF(EXACT(K246,"V"),K$5,0)+IF(EXACT(L246,"V"),L$5,0)+IF(EXACT(M246,"V"),M$5,0)+IF(EXACT(N246,"V"),N$5,0)+IF(EXACT(O246,"V"),O$5,0)+IF(EXACT(P246,"V"),P$5,0)+IF(EXACT(Q246,"V"),Q$5,0)</f>
      </c>
      <c r="K246" s="17"/>
      <c r="L246" s="17"/>
      <c r="M246" s="17"/>
      <c r="N246" s="17"/>
      <c r="O246" s="17"/>
      <c r="P246" s="17"/>
      <c r="Q246" s="17"/>
      <c r="R246" s="15" t="s">
        <v>19</v>
      </c>
    </row>
    <row r="247">
      <c r="A247" s="6"/>
      <c r="B247" s="8" t="s">
        <v>960</v>
      </c>
      <c r="C247" s="8"/>
      <c r="D247" s="8" t="s">
        <v>961</v>
      </c>
      <c r="E247" s="8" t="s">
        <v>925</v>
      </c>
      <c r="F247" s="8" t="s">
        <v>962</v>
      </c>
      <c r="G247" s="6"/>
      <c r="H247" s="13"/>
      <c r="I247" s="15" t="str">
        <f>=G247*J247</f>
      </c>
      <c r="J247" s="15" t="str">
        <f>IF(EXACT(K247,"V"),K$5,0)+IF(EXACT(L247,"V"),L$5,0)+IF(EXACT(M247,"V"),M$5,0)+IF(EXACT(N247,"V"),N$5,0)+IF(EXACT(O247,"V"),O$5,0)+IF(EXACT(P247,"V"),P$5,0)+IF(EXACT(Q247,"V"),Q$5,0)</f>
      </c>
      <c r="K247" s="17"/>
      <c r="L247" s="17"/>
      <c r="M247" s="17"/>
      <c r="N247" s="17"/>
      <c r="O247" s="17"/>
      <c r="P247" s="17"/>
      <c r="Q247" s="17"/>
      <c r="R247" s="15" t="s">
        <v>19</v>
      </c>
    </row>
    <row r="248">
      <c r="A248" s="6"/>
      <c r="B248" s="8" t="s">
        <v>963</v>
      </c>
      <c r="C248" s="8"/>
      <c r="D248" s="8" t="s">
        <v>964</v>
      </c>
      <c r="E248" s="8" t="s">
        <v>940</v>
      </c>
      <c r="F248" s="8" t="s">
        <v>965</v>
      </c>
      <c r="G248" s="6"/>
      <c r="H248" s="13"/>
      <c r="I248" s="15" t="str">
        <f>=G248*J248</f>
      </c>
      <c r="J248" s="15" t="str">
        <f>IF(EXACT(K248,"V"),K$5,0)+IF(EXACT(L248,"V"),L$5,0)+IF(EXACT(M248,"V"),M$5,0)+IF(EXACT(N248,"V"),N$5,0)+IF(EXACT(O248,"V"),O$5,0)+IF(EXACT(P248,"V"),P$5,0)+IF(EXACT(Q248,"V"),Q$5,0)</f>
      </c>
      <c r="K248" s="17"/>
      <c r="L248" s="17"/>
      <c r="M248" s="17"/>
      <c r="N248" s="17"/>
      <c r="O248" s="17"/>
      <c r="P248" s="17"/>
      <c r="Q248" s="17"/>
      <c r="R248" s="15" t="s">
        <v>19</v>
      </c>
    </row>
    <row r="249">
      <c r="A249" s="7" t="s">
        <v>966</v>
      </c>
      <c r="B249" s="9" t="s">
        <v>967</v>
      </c>
      <c r="C249" s="9"/>
      <c r="D249" s="9" t="s">
        <v>968</v>
      </c>
      <c r="E249" s="9" t="s">
        <v>946</v>
      </c>
      <c r="F249" s="9" t="s">
        <v>969</v>
      </c>
      <c r="G249" s="7">
        <v>1</v>
      </c>
      <c r="H249" s="14" t="s">
        <v>970</v>
      </c>
      <c r="I249" s="16" t="str">
        <f>=G249*J249</f>
      </c>
      <c r="J249" s="16" t="str">
        <f>IF(EXACT(K249,"V"),K$5,0)+IF(EXACT(L249,"V"),L$5,0)+IF(EXACT(M249,"V"),M$5,0)+IF(EXACT(N249,"V"),N$5,0)+IF(EXACT(O249,"V"),O$5,0)+IF(EXACT(P249,"V"),P$5,0)+IF(EXACT(Q249,"V"),Q$5,0)</f>
      </c>
      <c r="K249" s="18"/>
      <c r="L249" s="18"/>
      <c r="M249" s="18"/>
      <c r="N249" s="18"/>
      <c r="O249" s="18"/>
      <c r="P249" s="18"/>
      <c r="Q249" s="18"/>
      <c r="R249" s="16" t="s">
        <v>19</v>
      </c>
    </row>
    <row r="250">
      <c r="A250" s="7"/>
      <c r="B250" s="9" t="s">
        <v>971</v>
      </c>
      <c r="C250" s="9"/>
      <c r="D250" s="9" t="s">
        <v>972</v>
      </c>
      <c r="E250" s="9" t="s">
        <v>933</v>
      </c>
      <c r="F250" s="9" t="s">
        <v>973</v>
      </c>
      <c r="G250" s="7"/>
      <c r="H250" s="14"/>
      <c r="I250" s="16" t="str">
        <f>=G250*J250</f>
      </c>
      <c r="J250" s="16" t="str">
        <f>IF(EXACT(K250,"V"),K$5,0)+IF(EXACT(L250,"V"),L$5,0)+IF(EXACT(M250,"V"),M$5,0)+IF(EXACT(N250,"V"),N$5,0)+IF(EXACT(O250,"V"),O$5,0)+IF(EXACT(P250,"V"),P$5,0)+IF(EXACT(Q250,"V"),Q$5,0)</f>
      </c>
      <c r="K250" s="18"/>
      <c r="L250" s="18"/>
      <c r="M250" s="18"/>
      <c r="N250" s="18"/>
      <c r="O250" s="18"/>
      <c r="P250" s="18"/>
      <c r="Q250" s="18"/>
      <c r="R250" s="16" t="s">
        <v>19</v>
      </c>
    </row>
    <row r="251">
      <c r="A251" s="6" t="s">
        <v>974</v>
      </c>
      <c r="B251" s="8" t="s">
        <v>975</v>
      </c>
      <c r="C251" s="8"/>
      <c r="D251" s="8" t="s">
        <v>976</v>
      </c>
      <c r="E251" s="8" t="s">
        <v>357</v>
      </c>
      <c r="F251" s="8" t="s">
        <v>977</v>
      </c>
      <c r="G251" s="6">
        <v>2</v>
      </c>
      <c r="H251" s="13" t="s">
        <v>978</v>
      </c>
      <c r="I251" s="15" t="str">
        <f>=G251*J251</f>
      </c>
      <c r="J251" s="15" t="str">
        <f>IF(EXACT(K251,"V"),K$5,0)+IF(EXACT(L251,"V"),L$5,0)+IF(EXACT(M251,"V"),M$5,0)+IF(EXACT(N251,"V"),N$5,0)+IF(EXACT(O251,"V"),O$5,0)+IF(EXACT(P251,"V"),P$5,0)+IF(EXACT(Q251,"V"),Q$5,0)</f>
      </c>
      <c r="K251" s="17"/>
      <c r="L251" s="17"/>
      <c r="M251" s="17"/>
      <c r="N251" s="17"/>
      <c r="O251" s="17"/>
      <c r="P251" s="17"/>
      <c r="Q251" s="17"/>
      <c r="R251" s="15" t="s">
        <v>19</v>
      </c>
    </row>
    <row r="252">
      <c r="A252" s="6"/>
      <c r="B252" s="8" t="s">
        <v>979</v>
      </c>
      <c r="C252" s="8"/>
      <c r="D252" s="8" t="s">
        <v>976</v>
      </c>
      <c r="E252" s="8" t="s">
        <v>925</v>
      </c>
      <c r="F252" s="8" t="s">
        <v>980</v>
      </c>
      <c r="G252" s="6"/>
      <c r="H252" s="13"/>
      <c r="I252" s="15" t="str">
        <f>=G252*J252</f>
      </c>
      <c r="J252" s="15" t="str">
        <f>IF(EXACT(K252,"V"),K$5,0)+IF(EXACT(L252,"V"),L$5,0)+IF(EXACT(M252,"V"),M$5,0)+IF(EXACT(N252,"V"),N$5,0)+IF(EXACT(O252,"V"),O$5,0)+IF(EXACT(P252,"V"),P$5,0)+IF(EXACT(Q252,"V"),Q$5,0)</f>
      </c>
      <c r="K252" s="17"/>
      <c r="L252" s="17"/>
      <c r="M252" s="17"/>
      <c r="N252" s="17"/>
      <c r="O252" s="17"/>
      <c r="P252" s="17"/>
      <c r="Q252" s="17"/>
      <c r="R252" s="15" t="s">
        <v>19</v>
      </c>
    </row>
    <row r="253">
      <c r="A253" s="6"/>
      <c r="B253" s="8" t="s">
        <v>981</v>
      </c>
      <c r="C253" s="8"/>
      <c r="D253" s="8" t="s">
        <v>982</v>
      </c>
      <c r="E253" s="8" t="s">
        <v>940</v>
      </c>
      <c r="F253" s="8" t="s">
        <v>983</v>
      </c>
      <c r="G253" s="6"/>
      <c r="H253" s="13"/>
      <c r="I253" s="15" t="str">
        <f>=G253*J253</f>
      </c>
      <c r="J253" s="15" t="str">
        <f>IF(EXACT(K253,"V"),K$5,0)+IF(EXACT(L253,"V"),L$5,0)+IF(EXACT(M253,"V"),M$5,0)+IF(EXACT(N253,"V"),N$5,0)+IF(EXACT(O253,"V"),O$5,0)+IF(EXACT(P253,"V"),P$5,0)+IF(EXACT(Q253,"V"),Q$5,0)</f>
      </c>
      <c r="K253" s="17"/>
      <c r="L253" s="17"/>
      <c r="M253" s="17"/>
      <c r="N253" s="17"/>
      <c r="O253" s="17"/>
      <c r="P253" s="17"/>
      <c r="Q253" s="17"/>
      <c r="R253" s="15" t="s">
        <v>19</v>
      </c>
    </row>
    <row r="254">
      <c r="A254" s="7" t="s">
        <v>984</v>
      </c>
      <c r="B254" s="9" t="s">
        <v>985</v>
      </c>
      <c r="C254" s="9"/>
      <c r="D254" s="9" t="s">
        <v>986</v>
      </c>
      <c r="E254" s="9" t="s">
        <v>95</v>
      </c>
      <c r="F254" s="9" t="s">
        <v>987</v>
      </c>
      <c r="G254" s="7">
        <v>1</v>
      </c>
      <c r="H254" s="14" t="s">
        <v>988</v>
      </c>
      <c r="I254" s="16" t="str">
        <f>=G254*J254</f>
      </c>
      <c r="J254" s="16" t="str">
        <f>IF(EXACT(K254,"V"),K$5,0)+IF(EXACT(L254,"V"),L$5,0)+IF(EXACT(M254,"V"),M$5,0)+IF(EXACT(N254,"V"),N$5,0)+IF(EXACT(O254,"V"),O$5,0)+IF(EXACT(P254,"V"),P$5,0)+IF(EXACT(Q254,"V"),Q$5,0)</f>
      </c>
      <c r="K254" s="18"/>
      <c r="L254" s="18"/>
      <c r="M254" s="18"/>
      <c r="N254" s="18"/>
      <c r="O254" s="18"/>
      <c r="P254" s="18"/>
      <c r="Q254" s="18"/>
      <c r="R254" s="16" t="s">
        <v>19</v>
      </c>
    </row>
    <row r="255">
      <c r="A255" s="7"/>
      <c r="B255" s="9" t="s">
        <v>989</v>
      </c>
      <c r="C255" s="9"/>
      <c r="D255" s="9" t="s">
        <v>990</v>
      </c>
      <c r="E255" s="9" t="s">
        <v>357</v>
      </c>
      <c r="F255" s="9" t="s">
        <v>991</v>
      </c>
      <c r="G255" s="7"/>
      <c r="H255" s="14"/>
      <c r="I255" s="16" t="str">
        <f>=G255*J255</f>
      </c>
      <c r="J255" s="16" t="str">
        <f>IF(EXACT(K255,"V"),K$5,0)+IF(EXACT(L255,"V"),L$5,0)+IF(EXACT(M255,"V"),M$5,0)+IF(EXACT(N255,"V"),N$5,0)+IF(EXACT(O255,"V"),O$5,0)+IF(EXACT(P255,"V"),P$5,0)+IF(EXACT(Q255,"V"),Q$5,0)</f>
      </c>
      <c r="K255" s="18"/>
      <c r="L255" s="18"/>
      <c r="M255" s="18"/>
      <c r="N255" s="18"/>
      <c r="O255" s="18"/>
      <c r="P255" s="18"/>
      <c r="Q255" s="18"/>
      <c r="R255" s="16" t="s">
        <v>19</v>
      </c>
    </row>
    <row r="256">
      <c r="A256" s="6" t="s">
        <v>992</v>
      </c>
      <c r="B256" s="8" t="s">
        <v>993</v>
      </c>
      <c r="C256" s="8"/>
      <c r="D256" s="8" t="s">
        <v>994</v>
      </c>
      <c r="E256" s="8" t="s">
        <v>933</v>
      </c>
      <c r="F256" s="8" t="s">
        <v>995</v>
      </c>
      <c r="G256" s="6">
        <v>2</v>
      </c>
      <c r="H256" s="13" t="s">
        <v>996</v>
      </c>
      <c r="I256" s="15" t="str">
        <f>=G256*J256</f>
      </c>
      <c r="J256" s="15" t="str">
        <f>IF(EXACT(K256,"V"),K$5,0)+IF(EXACT(L256,"V"),L$5,0)+IF(EXACT(M256,"V"),M$5,0)+IF(EXACT(N256,"V"),N$5,0)+IF(EXACT(O256,"V"),O$5,0)+IF(EXACT(P256,"V"),P$5,0)+IF(EXACT(Q256,"V"),Q$5,0)</f>
      </c>
      <c r="K256" s="17"/>
      <c r="L256" s="17"/>
      <c r="M256" s="17"/>
      <c r="N256" s="17"/>
      <c r="O256" s="17"/>
      <c r="P256" s="17"/>
      <c r="Q256" s="17"/>
      <c r="R256" s="15" t="s">
        <v>19</v>
      </c>
    </row>
    <row r="257">
      <c r="A257" s="6"/>
      <c r="B257" s="8" t="s">
        <v>997</v>
      </c>
      <c r="C257" s="8"/>
      <c r="D257" s="8" t="s">
        <v>998</v>
      </c>
      <c r="E257" s="8" t="s">
        <v>946</v>
      </c>
      <c r="F257" s="8" t="s">
        <v>999</v>
      </c>
      <c r="G257" s="6"/>
      <c r="H257" s="13"/>
      <c r="I257" s="15" t="str">
        <f>=G257*J257</f>
      </c>
      <c r="J257" s="15" t="str">
        <f>IF(EXACT(K257,"V"),K$5,0)+IF(EXACT(L257,"V"),L$5,0)+IF(EXACT(M257,"V"),M$5,0)+IF(EXACT(N257,"V"),N$5,0)+IF(EXACT(O257,"V"),O$5,0)+IF(EXACT(P257,"V"),P$5,0)+IF(EXACT(Q257,"V"),Q$5,0)</f>
      </c>
      <c r="K257" s="17"/>
      <c r="L257" s="17"/>
      <c r="M257" s="17"/>
      <c r="N257" s="17"/>
      <c r="O257" s="17"/>
      <c r="P257" s="17"/>
      <c r="Q257" s="17"/>
      <c r="R257" s="15" t="s">
        <v>19</v>
      </c>
    </row>
    <row r="258">
      <c r="A258" s="6"/>
      <c r="B258" s="8" t="s">
        <v>1000</v>
      </c>
      <c r="C258" s="8"/>
      <c r="D258" s="8" t="s">
        <v>1001</v>
      </c>
      <c r="E258" s="8" t="s">
        <v>951</v>
      </c>
      <c r="F258" s="8" t="s">
        <v>1002</v>
      </c>
      <c r="G258" s="6"/>
      <c r="H258" s="13"/>
      <c r="I258" s="15" t="str">
        <f>=G258*J258</f>
      </c>
      <c r="J258" s="15" t="str">
        <f>IF(EXACT(K258,"V"),K$5,0)+IF(EXACT(L258,"V"),L$5,0)+IF(EXACT(M258,"V"),M$5,0)+IF(EXACT(N258,"V"),N$5,0)+IF(EXACT(O258,"V"),O$5,0)+IF(EXACT(P258,"V"),P$5,0)+IF(EXACT(Q258,"V"),Q$5,0)</f>
      </c>
      <c r="K258" s="17"/>
      <c r="L258" s="17"/>
      <c r="M258" s="17"/>
      <c r="N258" s="17"/>
      <c r="O258" s="17"/>
      <c r="P258" s="17"/>
      <c r="Q258" s="17"/>
      <c r="R258" s="15" t="s">
        <v>19</v>
      </c>
    </row>
    <row r="259">
      <c r="A259" s="7" t="s">
        <v>1003</v>
      </c>
      <c r="B259" s="9" t="s">
        <v>1004</v>
      </c>
      <c r="C259" s="9"/>
      <c r="D259" s="9" t="s">
        <v>1005</v>
      </c>
      <c r="E259" s="9" t="s">
        <v>1006</v>
      </c>
      <c r="F259" s="9" t="s">
        <v>1007</v>
      </c>
      <c r="G259" s="7">
        <v>1</v>
      </c>
      <c r="H259" s="14" t="s">
        <v>1008</v>
      </c>
      <c r="I259" s="16" t="str">
        <f>=G259*J259</f>
      </c>
      <c r="J259" s="16" t="str">
        <f>IF(EXACT(K259,"V"),K$5,0)+IF(EXACT(L259,"V"),L$5,0)+IF(EXACT(M259,"V"),M$5,0)+IF(EXACT(N259,"V"),N$5,0)+IF(EXACT(O259,"V"),O$5,0)+IF(EXACT(P259,"V"),P$5,0)+IF(EXACT(Q259,"V"),Q$5,0)</f>
      </c>
      <c r="K259" s="18"/>
      <c r="L259" s="18"/>
      <c r="M259" s="18"/>
      <c r="N259" s="18"/>
      <c r="O259" s="18"/>
      <c r="P259" s="18"/>
      <c r="Q259" s="18"/>
      <c r="R259" s="16" t="s">
        <v>19</v>
      </c>
    </row>
    <row r="260">
      <c r="A260" s="7"/>
      <c r="B260" s="9" t="s">
        <v>1009</v>
      </c>
      <c r="C260" s="9"/>
      <c r="D260" s="9" t="s">
        <v>1010</v>
      </c>
      <c r="E260" s="9" t="s">
        <v>185</v>
      </c>
      <c r="F260" s="9" t="s">
        <v>1011</v>
      </c>
      <c r="G260" s="7"/>
      <c r="H260" s="14"/>
      <c r="I260" s="16" t="str">
        <f>=G260*J260</f>
      </c>
      <c r="J260" s="16" t="str">
        <f>IF(EXACT(K260,"V"),K$5,0)+IF(EXACT(L260,"V"),L$5,0)+IF(EXACT(M260,"V"),M$5,0)+IF(EXACT(N260,"V"),N$5,0)+IF(EXACT(O260,"V"),O$5,0)+IF(EXACT(P260,"V"),P$5,0)+IF(EXACT(Q260,"V"),Q$5,0)</f>
      </c>
      <c r="K260" s="18"/>
      <c r="L260" s="18"/>
      <c r="M260" s="18"/>
      <c r="N260" s="18"/>
      <c r="O260" s="18"/>
      <c r="P260" s="18"/>
      <c r="Q260" s="18"/>
      <c r="R260" s="16" t="s">
        <v>19</v>
      </c>
    </row>
    <row r="261">
      <c r="A261" s="7"/>
      <c r="B261" s="9" t="s">
        <v>1012</v>
      </c>
      <c r="C261" s="9"/>
      <c r="D261" s="9" t="s">
        <v>1013</v>
      </c>
      <c r="E261" s="9" t="s">
        <v>185</v>
      </c>
      <c r="F261" s="9" t="s">
        <v>1014</v>
      </c>
      <c r="G261" s="7"/>
      <c r="H261" s="14"/>
      <c r="I261" s="16" t="str">
        <f>=G261*J261</f>
      </c>
      <c r="J261" s="16" t="str">
        <f>IF(EXACT(K261,"V"),K$5,0)+IF(EXACT(L261,"V"),L$5,0)+IF(EXACT(M261,"V"),M$5,0)+IF(EXACT(N261,"V"),N$5,0)+IF(EXACT(O261,"V"),O$5,0)+IF(EXACT(P261,"V"),P$5,0)+IF(EXACT(Q261,"V"),Q$5,0)</f>
      </c>
      <c r="K261" s="18"/>
      <c r="L261" s="18"/>
      <c r="M261" s="18"/>
      <c r="N261" s="18"/>
      <c r="O261" s="18"/>
      <c r="P261" s="18"/>
      <c r="Q261" s="18"/>
      <c r="R261" s="16" t="s">
        <v>19</v>
      </c>
    </row>
    <row r="262">
      <c r="A262" s="7"/>
      <c r="B262" s="9" t="s">
        <v>1015</v>
      </c>
      <c r="C262" s="9"/>
      <c r="D262" s="9" t="s">
        <v>1016</v>
      </c>
      <c r="E262" s="9" t="s">
        <v>416</v>
      </c>
      <c r="F262" s="9" t="s">
        <v>1017</v>
      </c>
      <c r="G262" s="7"/>
      <c r="H262" s="14"/>
      <c r="I262" s="16" t="str">
        <f>=G262*J262</f>
      </c>
      <c r="J262" s="16" t="str">
        <f>IF(EXACT(K262,"V"),K$5,0)+IF(EXACT(L262,"V"),L$5,0)+IF(EXACT(M262,"V"),M$5,0)+IF(EXACT(N262,"V"),N$5,0)+IF(EXACT(O262,"V"),O$5,0)+IF(EXACT(P262,"V"),P$5,0)+IF(EXACT(Q262,"V"),Q$5,0)</f>
      </c>
      <c r="K262" s="18"/>
      <c r="L262" s="18"/>
      <c r="M262" s="18"/>
      <c r="N262" s="18"/>
      <c r="O262" s="18"/>
      <c r="P262" s="18"/>
      <c r="Q262" s="18"/>
      <c r="R262" s="16" t="s">
        <v>19</v>
      </c>
    </row>
    <row r="263">
      <c r="A263" s="6" t="s">
        <v>1018</v>
      </c>
      <c r="B263" s="8" t="s">
        <v>1019</v>
      </c>
      <c r="C263" s="8"/>
      <c r="D263" s="8" t="s">
        <v>1020</v>
      </c>
      <c r="E263" s="8" t="s">
        <v>185</v>
      </c>
      <c r="F263" s="8" t="s">
        <v>1021</v>
      </c>
      <c r="G263" s="6">
        <v>6</v>
      </c>
      <c r="H263" s="13" t="s">
        <v>1022</v>
      </c>
      <c r="I263" s="15" t="str">
        <f>=G263*J263</f>
      </c>
      <c r="J263" s="15" t="str">
        <f>IF(EXACT(K263,"V"),K$5,0)+IF(EXACT(L263,"V"),L$5,0)+IF(EXACT(M263,"V"),M$5,0)+IF(EXACT(N263,"V"),N$5,0)+IF(EXACT(O263,"V"),O$5,0)+IF(EXACT(P263,"V"),P$5,0)+IF(EXACT(Q263,"V"),Q$5,0)</f>
      </c>
      <c r="K263" s="17"/>
      <c r="L263" s="17"/>
      <c r="M263" s="17"/>
      <c r="N263" s="17"/>
      <c r="O263" s="17"/>
      <c r="P263" s="17"/>
      <c r="Q263" s="17"/>
      <c r="R263" s="15" t="s">
        <v>19</v>
      </c>
    </row>
    <row r="264">
      <c r="A264" s="6"/>
      <c r="B264" s="8" t="s">
        <v>1023</v>
      </c>
      <c r="C264" s="8"/>
      <c r="D264" s="8" t="s">
        <v>1024</v>
      </c>
      <c r="E264" s="8" t="s">
        <v>1006</v>
      </c>
      <c r="F264" s="8" t="s">
        <v>1025</v>
      </c>
      <c r="G264" s="6"/>
      <c r="H264" s="13"/>
      <c r="I264" s="15" t="str">
        <f>=G264*J264</f>
      </c>
      <c r="J264" s="15" t="str">
        <f>IF(EXACT(K264,"V"),K$5,0)+IF(EXACT(L264,"V"),L$5,0)+IF(EXACT(M264,"V"),M$5,0)+IF(EXACT(N264,"V"),N$5,0)+IF(EXACT(O264,"V"),O$5,0)+IF(EXACT(P264,"V"),P$5,0)+IF(EXACT(Q264,"V"),Q$5,0)</f>
      </c>
      <c r="K264" s="17"/>
      <c r="L264" s="17"/>
      <c r="M264" s="17"/>
      <c r="N264" s="17"/>
      <c r="O264" s="17"/>
      <c r="P264" s="17"/>
      <c r="Q264" s="17"/>
      <c r="R264" s="15" t="s">
        <v>19</v>
      </c>
    </row>
    <row r="265">
      <c r="A265" s="6"/>
      <c r="B265" s="8" t="s">
        <v>1026</v>
      </c>
      <c r="C265" s="8"/>
      <c r="D265" s="8" t="s">
        <v>1027</v>
      </c>
      <c r="E265" s="8" t="s">
        <v>1006</v>
      </c>
      <c r="F265" s="8" t="s">
        <v>1028</v>
      </c>
      <c r="G265" s="6"/>
      <c r="H265" s="13"/>
      <c r="I265" s="15" t="str">
        <f>=G265*J265</f>
      </c>
      <c r="J265" s="15" t="str">
        <f>IF(EXACT(K265,"V"),K$5,0)+IF(EXACT(L265,"V"),L$5,0)+IF(EXACT(M265,"V"),M$5,0)+IF(EXACT(N265,"V"),N$5,0)+IF(EXACT(O265,"V"),O$5,0)+IF(EXACT(P265,"V"),P$5,0)+IF(EXACT(Q265,"V"),Q$5,0)</f>
      </c>
      <c r="K265" s="17"/>
      <c r="L265" s="17"/>
      <c r="M265" s="17"/>
      <c r="N265" s="17"/>
      <c r="O265" s="17"/>
      <c r="P265" s="17"/>
      <c r="Q265" s="17"/>
      <c r="R265" s="15" t="s">
        <v>19</v>
      </c>
    </row>
    <row r="266">
      <c r="A266" s="6"/>
      <c r="B266" s="8" t="s">
        <v>1029</v>
      </c>
      <c r="C266" s="8"/>
      <c r="D266" s="8" t="s">
        <v>1030</v>
      </c>
      <c r="E266" s="8" t="s">
        <v>416</v>
      </c>
      <c r="F266" s="8" t="s">
        <v>1031</v>
      </c>
      <c r="G266" s="6"/>
      <c r="H266" s="13"/>
      <c r="I266" s="15" t="str">
        <f>=G266*J266</f>
      </c>
      <c r="J266" s="15" t="str">
        <f>IF(EXACT(K266,"V"),K$5,0)+IF(EXACT(L266,"V"),L$5,0)+IF(EXACT(M266,"V"),M$5,0)+IF(EXACT(N266,"V"),N$5,0)+IF(EXACT(O266,"V"),O$5,0)+IF(EXACT(P266,"V"),P$5,0)+IF(EXACT(Q266,"V"),Q$5,0)</f>
      </c>
      <c r="K266" s="17"/>
      <c r="L266" s="17"/>
      <c r="M266" s="17"/>
      <c r="N266" s="17"/>
      <c r="O266" s="17"/>
      <c r="P266" s="17"/>
      <c r="Q266" s="17"/>
      <c r="R266" s="15" t="s">
        <v>19</v>
      </c>
    </row>
    <row r="267">
      <c r="A267" s="7" t="s">
        <v>1032</v>
      </c>
      <c r="B267" s="9" t="s">
        <v>1033</v>
      </c>
      <c r="C267" s="9"/>
      <c r="D267" s="9" t="s">
        <v>1034</v>
      </c>
      <c r="E267" s="9" t="s">
        <v>1006</v>
      </c>
      <c r="F267" s="9" t="s">
        <v>1035</v>
      </c>
      <c r="G267" s="7">
        <v>1</v>
      </c>
      <c r="H267" s="14" t="s">
        <v>1036</v>
      </c>
      <c r="I267" s="16" t="str">
        <f>=G267*J267</f>
      </c>
      <c r="J267" s="16" t="str">
        <f>IF(EXACT(K267,"V"),K$5,0)+IF(EXACT(L267,"V"),L$5,0)+IF(EXACT(M267,"V"),M$5,0)+IF(EXACT(N267,"V"),N$5,0)+IF(EXACT(O267,"V"),O$5,0)+IF(EXACT(P267,"V"),P$5,0)+IF(EXACT(Q267,"V"),Q$5,0)</f>
      </c>
      <c r="K267" s="18"/>
      <c r="L267" s="18"/>
      <c r="M267" s="18"/>
      <c r="N267" s="18"/>
      <c r="O267" s="18"/>
      <c r="P267" s="18"/>
      <c r="Q267" s="18"/>
      <c r="R267" s="16" t="s">
        <v>19</v>
      </c>
    </row>
    <row r="268">
      <c r="A268" s="7"/>
      <c r="B268" s="9" t="s">
        <v>1037</v>
      </c>
      <c r="C268" s="9"/>
      <c r="D268" s="9" t="s">
        <v>1038</v>
      </c>
      <c r="E268" s="9" t="s">
        <v>185</v>
      </c>
      <c r="F268" s="9" t="s">
        <v>1039</v>
      </c>
      <c r="G268" s="7"/>
      <c r="H268" s="14"/>
      <c r="I268" s="16" t="str">
        <f>=G268*J268</f>
      </c>
      <c r="J268" s="16" t="str">
        <f>IF(EXACT(K268,"V"),K$5,0)+IF(EXACT(L268,"V"),L$5,0)+IF(EXACT(M268,"V"),M$5,0)+IF(EXACT(N268,"V"),N$5,0)+IF(EXACT(O268,"V"),O$5,0)+IF(EXACT(P268,"V"),P$5,0)+IF(EXACT(Q268,"V"),Q$5,0)</f>
      </c>
      <c r="K268" s="18"/>
      <c r="L268" s="18"/>
      <c r="M268" s="18"/>
      <c r="N268" s="18"/>
      <c r="O268" s="18"/>
      <c r="P268" s="18"/>
      <c r="Q268" s="18"/>
      <c r="R268" s="16" t="s">
        <v>19</v>
      </c>
    </row>
    <row r="269">
      <c r="A269" s="7"/>
      <c r="B269" s="9" t="s">
        <v>1040</v>
      </c>
      <c r="C269" s="9"/>
      <c r="D269" s="9" t="s">
        <v>1041</v>
      </c>
      <c r="E269" s="9" t="s">
        <v>1042</v>
      </c>
      <c r="F269" s="9" t="s">
        <v>1043</v>
      </c>
      <c r="G269" s="7"/>
      <c r="H269" s="14"/>
      <c r="I269" s="16" t="str">
        <f>=G269*J269</f>
      </c>
      <c r="J269" s="16" t="str">
        <f>IF(EXACT(K269,"V"),K$5,0)+IF(EXACT(L269,"V"),L$5,0)+IF(EXACT(M269,"V"),M$5,0)+IF(EXACT(N269,"V"),N$5,0)+IF(EXACT(O269,"V"),O$5,0)+IF(EXACT(P269,"V"),P$5,0)+IF(EXACT(Q269,"V"),Q$5,0)</f>
      </c>
      <c r="K269" s="18"/>
      <c r="L269" s="18"/>
      <c r="M269" s="18"/>
      <c r="N269" s="18"/>
      <c r="O269" s="18"/>
      <c r="P269" s="18"/>
      <c r="Q269" s="18"/>
      <c r="R269" s="16" t="s">
        <v>19</v>
      </c>
    </row>
    <row r="270">
      <c r="A270" s="7"/>
      <c r="B270" s="9" t="s">
        <v>1044</v>
      </c>
      <c r="C270" s="9"/>
      <c r="D270" s="9" t="s">
        <v>1045</v>
      </c>
      <c r="E270" s="9" t="s">
        <v>1046</v>
      </c>
      <c r="F270" s="9" t="s">
        <v>1047</v>
      </c>
      <c r="G270" s="7"/>
      <c r="H270" s="14"/>
      <c r="I270" s="16" t="str">
        <f>=G270*J270</f>
      </c>
      <c r="J270" s="16" t="str">
        <f>IF(EXACT(K270,"V"),K$5,0)+IF(EXACT(L270,"V"),L$5,0)+IF(EXACT(M270,"V"),M$5,0)+IF(EXACT(N270,"V"),N$5,0)+IF(EXACT(O270,"V"),O$5,0)+IF(EXACT(P270,"V"),P$5,0)+IF(EXACT(Q270,"V"),Q$5,0)</f>
      </c>
      <c r="K270" s="18"/>
      <c r="L270" s="18"/>
      <c r="M270" s="18"/>
      <c r="N270" s="18"/>
      <c r="O270" s="18"/>
      <c r="P270" s="18"/>
      <c r="Q270" s="18"/>
      <c r="R270" s="16" t="s">
        <v>19</v>
      </c>
    </row>
    <row r="271">
      <c r="A271" s="6" t="s">
        <v>1048</v>
      </c>
      <c r="B271" s="8" t="s">
        <v>1049</v>
      </c>
      <c r="C271" s="8"/>
      <c r="D271" s="8" t="s">
        <v>1050</v>
      </c>
      <c r="E271" s="8" t="s">
        <v>185</v>
      </c>
      <c r="F271" s="8" t="s">
        <v>1051</v>
      </c>
      <c r="G271" s="6">
        <v>2</v>
      </c>
      <c r="H271" s="13" t="s">
        <v>1052</v>
      </c>
      <c r="I271" s="15" t="str">
        <f>=G271*J271</f>
      </c>
      <c r="J271" s="15" t="str">
        <f>IF(EXACT(K271,"V"),K$5,0)+IF(EXACT(L271,"V"),L$5,0)+IF(EXACT(M271,"V"),M$5,0)+IF(EXACT(N271,"V"),N$5,0)+IF(EXACT(O271,"V"),O$5,0)+IF(EXACT(P271,"V"),P$5,0)+IF(EXACT(Q271,"V"),Q$5,0)</f>
      </c>
      <c r="K271" s="17"/>
      <c r="L271" s="17"/>
      <c r="M271" s="17"/>
      <c r="N271" s="17"/>
      <c r="O271" s="17"/>
      <c r="P271" s="17"/>
      <c r="Q271" s="17"/>
      <c r="R271" s="15" t="s">
        <v>19</v>
      </c>
    </row>
    <row r="272">
      <c r="A272" s="6"/>
      <c r="B272" s="8" t="s">
        <v>1053</v>
      </c>
      <c r="C272" s="8"/>
      <c r="D272" s="8" t="s">
        <v>1054</v>
      </c>
      <c r="E272" s="8" t="s">
        <v>1006</v>
      </c>
      <c r="F272" s="8" t="s">
        <v>1055</v>
      </c>
      <c r="G272" s="6"/>
      <c r="H272" s="13"/>
      <c r="I272" s="15" t="str">
        <f>=G272*J272</f>
      </c>
      <c r="J272" s="15" t="str">
        <f>IF(EXACT(K272,"V"),K$5,0)+IF(EXACT(L272,"V"),L$5,0)+IF(EXACT(M272,"V"),M$5,0)+IF(EXACT(N272,"V"),N$5,0)+IF(EXACT(O272,"V"),O$5,0)+IF(EXACT(P272,"V"),P$5,0)+IF(EXACT(Q272,"V"),Q$5,0)</f>
      </c>
      <c r="K272" s="17"/>
      <c r="L272" s="17"/>
      <c r="M272" s="17"/>
      <c r="N272" s="17"/>
      <c r="O272" s="17"/>
      <c r="P272" s="17"/>
      <c r="Q272" s="17"/>
      <c r="R272" s="15" t="s">
        <v>19</v>
      </c>
    </row>
    <row r="273">
      <c r="A273" s="6"/>
      <c r="B273" s="8" t="s">
        <v>1056</v>
      </c>
      <c r="C273" s="8"/>
      <c r="D273" s="8" t="s">
        <v>1057</v>
      </c>
      <c r="E273" s="8" t="s">
        <v>416</v>
      </c>
      <c r="F273" s="8" t="s">
        <v>1058</v>
      </c>
      <c r="G273" s="6"/>
      <c r="H273" s="13"/>
      <c r="I273" s="15" t="str">
        <f>=G273*J273</f>
      </c>
      <c r="J273" s="15" t="str">
        <f>IF(EXACT(K273,"V"),K$5,0)+IF(EXACT(L273,"V"),L$5,0)+IF(EXACT(M273,"V"),M$5,0)+IF(EXACT(N273,"V"),N$5,0)+IF(EXACT(O273,"V"),O$5,0)+IF(EXACT(P273,"V"),P$5,0)+IF(EXACT(Q273,"V"),Q$5,0)</f>
      </c>
      <c r="K273" s="17"/>
      <c r="L273" s="17"/>
      <c r="M273" s="17"/>
      <c r="N273" s="17"/>
      <c r="O273" s="17"/>
      <c r="P273" s="17"/>
      <c r="Q273" s="17"/>
      <c r="R273" s="15" t="s">
        <v>19</v>
      </c>
    </row>
    <row r="274">
      <c r="A274" s="7" t="s">
        <v>1059</v>
      </c>
      <c r="B274" s="9" t="s">
        <v>1060</v>
      </c>
      <c r="C274" s="9"/>
      <c r="D274" s="9" t="s">
        <v>1061</v>
      </c>
      <c r="E274" s="9" t="s">
        <v>95</v>
      </c>
      <c r="F274" s="9" t="s">
        <v>1062</v>
      </c>
      <c r="G274" s="7">
        <v>3</v>
      </c>
      <c r="H274" s="14" t="s">
        <v>1063</v>
      </c>
      <c r="I274" s="16" t="str">
        <f>=G274*J274</f>
      </c>
      <c r="J274" s="16" t="str">
        <f>IF(EXACT(K274,"V"),K$5,0)+IF(EXACT(L274,"V"),L$5,0)+IF(EXACT(M274,"V"),M$5,0)+IF(EXACT(N274,"V"),N$5,0)+IF(EXACT(O274,"V"),O$5,0)+IF(EXACT(P274,"V"),P$5,0)+IF(EXACT(Q274,"V"),Q$5,0)</f>
      </c>
      <c r="K274" s="18"/>
      <c r="L274" s="18"/>
      <c r="M274" s="18"/>
      <c r="N274" s="18"/>
      <c r="O274" s="18"/>
      <c r="P274" s="18"/>
      <c r="Q274" s="18"/>
      <c r="R274" s="16" t="s">
        <v>19</v>
      </c>
    </row>
    <row r="275">
      <c r="A275" s="7"/>
      <c r="B275" s="9" t="s">
        <v>1064</v>
      </c>
      <c r="C275" s="9"/>
      <c r="D275" s="9" t="s">
        <v>1065</v>
      </c>
      <c r="E275" s="9" t="s">
        <v>82</v>
      </c>
      <c r="F275" s="9" t="s">
        <v>1066</v>
      </c>
      <c r="G275" s="7"/>
      <c r="H275" s="14"/>
      <c r="I275" s="16" t="str">
        <f>=G275*J275</f>
      </c>
      <c r="J275" s="16" t="str">
        <f>IF(EXACT(K275,"V"),K$5,0)+IF(EXACT(L275,"V"),L$5,0)+IF(EXACT(M275,"V"),M$5,0)+IF(EXACT(N275,"V"),N$5,0)+IF(EXACT(O275,"V"),O$5,0)+IF(EXACT(P275,"V"),P$5,0)+IF(EXACT(Q275,"V"),Q$5,0)</f>
      </c>
      <c r="K275" s="18"/>
      <c r="L275" s="18"/>
      <c r="M275" s="18"/>
      <c r="N275" s="18"/>
      <c r="O275" s="18"/>
      <c r="P275" s="18"/>
      <c r="Q275" s="18"/>
      <c r="R275" s="16" t="s">
        <v>19</v>
      </c>
    </row>
    <row r="276">
      <c r="A276" s="7"/>
      <c r="B276" s="9" t="s">
        <v>1067</v>
      </c>
      <c r="C276" s="9"/>
      <c r="D276" s="9" t="s">
        <v>1068</v>
      </c>
      <c r="E276" s="9" t="s">
        <v>82</v>
      </c>
      <c r="F276" s="9" t="s">
        <v>1069</v>
      </c>
      <c r="G276" s="7"/>
      <c r="H276" s="14"/>
      <c r="I276" s="16" t="str">
        <f>=G276*J276</f>
      </c>
      <c r="J276" s="16" t="str">
        <f>IF(EXACT(K276,"V"),K$5,0)+IF(EXACT(L276,"V"),L$5,0)+IF(EXACT(M276,"V"),M$5,0)+IF(EXACT(N276,"V"),N$5,0)+IF(EXACT(O276,"V"),O$5,0)+IF(EXACT(P276,"V"),P$5,0)+IF(EXACT(Q276,"V"),Q$5,0)</f>
      </c>
      <c r="K276" s="18"/>
      <c r="L276" s="18"/>
      <c r="M276" s="18"/>
      <c r="N276" s="18"/>
      <c r="O276" s="18"/>
      <c r="P276" s="18"/>
      <c r="Q276" s="18"/>
      <c r="R276" s="16" t="s">
        <v>19</v>
      </c>
    </row>
    <row r="277">
      <c r="A277" s="7"/>
      <c r="B277" s="9" t="s">
        <v>1070</v>
      </c>
      <c r="C277" s="9"/>
      <c r="D277" s="9" t="s">
        <v>1068</v>
      </c>
      <c r="E277" s="9" t="s">
        <v>146</v>
      </c>
      <c r="F277" s="9" t="s">
        <v>1071</v>
      </c>
      <c r="G277" s="7"/>
      <c r="H277" s="14"/>
      <c r="I277" s="16" t="str">
        <f>=G277*J277</f>
      </c>
      <c r="J277" s="16" t="str">
        <f>IF(EXACT(K277,"V"),K$5,0)+IF(EXACT(L277,"V"),L$5,0)+IF(EXACT(M277,"V"),M$5,0)+IF(EXACT(N277,"V"),N$5,0)+IF(EXACT(O277,"V"),O$5,0)+IF(EXACT(P277,"V"),P$5,0)+IF(EXACT(Q277,"V"),Q$5,0)</f>
      </c>
      <c r="K277" s="18"/>
      <c r="L277" s="18"/>
      <c r="M277" s="18"/>
      <c r="N277" s="18"/>
      <c r="O277" s="18"/>
      <c r="P277" s="18"/>
      <c r="Q277" s="18"/>
      <c r="R277" s="16" t="s">
        <v>19</v>
      </c>
    </row>
    <row r="278">
      <c r="A278" s="7"/>
      <c r="B278" s="9" t="s">
        <v>1072</v>
      </c>
      <c r="C278" s="9"/>
      <c r="D278" s="9" t="s">
        <v>1073</v>
      </c>
      <c r="E278" s="9" t="s">
        <v>146</v>
      </c>
      <c r="F278" s="9" t="s">
        <v>1074</v>
      </c>
      <c r="G278" s="7"/>
      <c r="H278" s="14"/>
      <c r="I278" s="16" t="str">
        <f>=G278*J278</f>
      </c>
      <c r="J278" s="16" t="str">
        <f>IF(EXACT(K278,"V"),K$5,0)+IF(EXACT(L278,"V"),L$5,0)+IF(EXACT(M278,"V"),M$5,0)+IF(EXACT(N278,"V"),N$5,0)+IF(EXACT(O278,"V"),O$5,0)+IF(EXACT(P278,"V"),P$5,0)+IF(EXACT(Q278,"V"),Q$5,0)</f>
      </c>
      <c r="K278" s="18"/>
      <c r="L278" s="18"/>
      <c r="M278" s="18"/>
      <c r="N278" s="18"/>
      <c r="O278" s="18"/>
      <c r="P278" s="18"/>
      <c r="Q278" s="18"/>
      <c r="R278" s="16" t="s">
        <v>19</v>
      </c>
    </row>
    <row r="279">
      <c r="A279" s="6" t="s">
        <v>1075</v>
      </c>
      <c r="B279" s="8" t="s">
        <v>1076</v>
      </c>
      <c r="C279" s="8"/>
      <c r="D279" s="8" t="s">
        <v>1077</v>
      </c>
      <c r="E279" s="8" t="s">
        <v>701</v>
      </c>
      <c r="F279" s="8" t="s">
        <v>1078</v>
      </c>
      <c r="G279" s="6">
        <v>1</v>
      </c>
      <c r="H279" s="13" t="s">
        <v>1079</v>
      </c>
      <c r="I279" s="15" t="str">
        <f>=G279*J279</f>
      </c>
      <c r="J279" s="15" t="str">
        <f>IF(EXACT(K279,"V"),K$5,0)+IF(EXACT(L279,"V"),L$5,0)+IF(EXACT(M279,"V"),M$5,0)+IF(EXACT(N279,"V"),N$5,0)+IF(EXACT(O279,"V"),O$5,0)+IF(EXACT(P279,"V"),P$5,0)+IF(EXACT(Q279,"V"),Q$5,0)</f>
      </c>
      <c r="K279" s="17"/>
      <c r="L279" s="17"/>
      <c r="M279" s="17"/>
      <c r="N279" s="17"/>
      <c r="O279" s="17"/>
      <c r="P279" s="17"/>
      <c r="Q279" s="17"/>
      <c r="R279" s="15" t="s">
        <v>19</v>
      </c>
    </row>
    <row r="280">
      <c r="A280" s="7" t="s">
        <v>1080</v>
      </c>
      <c r="B280" s="9" t="s">
        <v>1081</v>
      </c>
      <c r="C280" s="9"/>
      <c r="D280" s="9" t="s">
        <v>1082</v>
      </c>
      <c r="E280" s="9" t="s">
        <v>185</v>
      </c>
      <c r="F280" s="9" t="s">
        <v>1083</v>
      </c>
      <c r="G280" s="7">
        <v>11</v>
      </c>
      <c r="H280" s="14" t="s">
        <v>1084</v>
      </c>
      <c r="I280" s="16" t="str">
        <f>=G280*J280</f>
      </c>
      <c r="J280" s="16" t="str">
        <f>IF(EXACT(K280,"V"),K$5,0)+IF(EXACT(L280,"V"),L$5,0)+IF(EXACT(M280,"V"),M$5,0)+IF(EXACT(N280,"V"),N$5,0)+IF(EXACT(O280,"V"),O$5,0)+IF(EXACT(P280,"V"),P$5,0)+IF(EXACT(Q280,"V"),Q$5,0)</f>
      </c>
      <c r="K280" s="18"/>
      <c r="L280" s="18"/>
      <c r="M280" s="18"/>
      <c r="N280" s="18"/>
      <c r="O280" s="18"/>
      <c r="P280" s="18"/>
      <c r="Q280" s="18"/>
      <c r="R280" s="16" t="s">
        <v>19</v>
      </c>
    </row>
    <row r="281">
      <c r="A281" s="6" t="s">
        <v>1085</v>
      </c>
      <c r="B281" s="8" t="s">
        <v>1086</v>
      </c>
      <c r="C281" s="8"/>
      <c r="D281" s="8" t="s">
        <v>1087</v>
      </c>
      <c r="E281" s="8" t="s">
        <v>185</v>
      </c>
      <c r="F281" s="8" t="s">
        <v>1088</v>
      </c>
      <c r="G281" s="6">
        <v>3</v>
      </c>
      <c r="H281" s="13" t="s">
        <v>1089</v>
      </c>
      <c r="I281" s="15" t="str">
        <f>=G281*J281</f>
      </c>
      <c r="J281" s="15" t="str">
        <f>IF(EXACT(K281,"V"),K$5,0)+IF(EXACT(L281,"V"),L$5,0)+IF(EXACT(M281,"V"),M$5,0)+IF(EXACT(N281,"V"),N$5,0)+IF(EXACT(O281,"V"),O$5,0)+IF(EXACT(P281,"V"),P$5,0)+IF(EXACT(Q281,"V"),Q$5,0)</f>
      </c>
      <c r="K281" s="17"/>
      <c r="L281" s="17"/>
      <c r="M281" s="17"/>
      <c r="N281" s="17"/>
      <c r="O281" s="17"/>
      <c r="P281" s="17"/>
      <c r="Q281" s="17"/>
      <c r="R281" s="15" t="s">
        <v>19</v>
      </c>
    </row>
    <row r="282">
      <c r="A282" s="6"/>
      <c r="B282" s="8" t="s">
        <v>1090</v>
      </c>
      <c r="C282" s="8"/>
      <c r="D282" s="8" t="s">
        <v>1091</v>
      </c>
      <c r="E282" s="8" t="s">
        <v>689</v>
      </c>
      <c r="F282" s="8" t="s">
        <v>1092</v>
      </c>
      <c r="G282" s="6"/>
      <c r="H282" s="13"/>
      <c r="I282" s="15" t="str">
        <f>=G282*J282</f>
      </c>
      <c r="J282" s="15" t="str">
        <f>IF(EXACT(K282,"V"),K$5,0)+IF(EXACT(L282,"V"),L$5,0)+IF(EXACT(M282,"V"),M$5,0)+IF(EXACT(N282,"V"),N$5,0)+IF(EXACT(O282,"V"),O$5,0)+IF(EXACT(P282,"V"),P$5,0)+IF(EXACT(Q282,"V"),Q$5,0)</f>
      </c>
      <c r="K282" s="17"/>
      <c r="L282" s="17"/>
      <c r="M282" s="17"/>
      <c r="N282" s="17"/>
      <c r="O282" s="17"/>
      <c r="P282" s="17"/>
      <c r="Q282" s="17"/>
      <c r="R282" s="15" t="s">
        <v>19</v>
      </c>
    </row>
    <row r="283">
      <c r="A283" s="6"/>
      <c r="B283" s="8" t="s">
        <v>1093</v>
      </c>
      <c r="C283" s="8"/>
      <c r="D283" s="8" t="s">
        <v>1094</v>
      </c>
      <c r="E283" s="8" t="s">
        <v>1095</v>
      </c>
      <c r="F283" s="8" t="s">
        <v>1096</v>
      </c>
      <c r="G283" s="6"/>
      <c r="H283" s="13"/>
      <c r="I283" s="15" t="str">
        <f>=G283*J283</f>
      </c>
      <c r="J283" s="15" t="str">
        <f>IF(EXACT(K283,"V"),K$5,0)+IF(EXACT(L283,"V"),L$5,0)+IF(EXACT(M283,"V"),M$5,0)+IF(EXACT(N283,"V"),N$5,0)+IF(EXACT(O283,"V"),O$5,0)+IF(EXACT(P283,"V"),P$5,0)+IF(EXACT(Q283,"V"),Q$5,0)</f>
      </c>
      <c r="K283" s="17"/>
      <c r="L283" s="17"/>
      <c r="M283" s="17"/>
      <c r="N283" s="17"/>
      <c r="O283" s="17"/>
      <c r="P283" s="17"/>
      <c r="Q283" s="17"/>
      <c r="R283" s="15" t="s">
        <v>19</v>
      </c>
    </row>
    <row r="284">
      <c r="A284" s="7" t="s">
        <v>1097</v>
      </c>
      <c r="B284" s="9" t="s">
        <v>1098</v>
      </c>
      <c r="C284" s="9"/>
      <c r="D284" s="9" t="s">
        <v>1099</v>
      </c>
      <c r="E284" s="9" t="s">
        <v>701</v>
      </c>
      <c r="F284" s="9" t="s">
        <v>1100</v>
      </c>
      <c r="G284" s="7">
        <v>1</v>
      </c>
      <c r="H284" s="14" t="s">
        <v>1101</v>
      </c>
      <c r="I284" s="16" t="str">
        <f>=G284*J284</f>
      </c>
      <c r="J284" s="16" t="str">
        <f>IF(EXACT(K284,"V"),K$5,0)+IF(EXACT(L284,"V"),L$5,0)+IF(EXACT(M284,"V"),M$5,0)+IF(EXACT(N284,"V"),N$5,0)+IF(EXACT(O284,"V"),O$5,0)+IF(EXACT(P284,"V"),P$5,0)+IF(EXACT(Q284,"V"),Q$5,0)</f>
      </c>
      <c r="K284" s="18"/>
      <c r="L284" s="18"/>
      <c r="M284" s="18"/>
      <c r="N284" s="18"/>
      <c r="O284" s="18"/>
      <c r="P284" s="18"/>
      <c r="Q284" s="18"/>
      <c r="R284" s="16" t="s">
        <v>19</v>
      </c>
    </row>
    <row r="285">
      <c r="A285" s="7"/>
      <c r="B285" s="9" t="s">
        <v>1102</v>
      </c>
      <c r="C285" s="9"/>
      <c r="D285" s="9" t="s">
        <v>1103</v>
      </c>
      <c r="E285" s="9" t="s">
        <v>689</v>
      </c>
      <c r="F285" s="9" t="s">
        <v>1104</v>
      </c>
      <c r="G285" s="7"/>
      <c r="H285" s="14"/>
      <c r="I285" s="16" t="str">
        <f>=G285*J285</f>
      </c>
      <c r="J285" s="16" t="str">
        <f>IF(EXACT(K285,"V"),K$5,0)+IF(EXACT(L285,"V"),L$5,0)+IF(EXACT(M285,"V"),M$5,0)+IF(EXACT(N285,"V"),N$5,0)+IF(EXACT(O285,"V"),O$5,0)+IF(EXACT(P285,"V"),P$5,0)+IF(EXACT(Q285,"V"),Q$5,0)</f>
      </c>
      <c r="K285" s="18"/>
      <c r="L285" s="18"/>
      <c r="M285" s="18"/>
      <c r="N285" s="18"/>
      <c r="O285" s="18"/>
      <c r="P285" s="18"/>
      <c r="Q285" s="18"/>
      <c r="R285" s="16" t="s">
        <v>19</v>
      </c>
    </row>
    <row r="286">
      <c r="A286" s="7"/>
      <c r="B286" s="9" t="s">
        <v>1105</v>
      </c>
      <c r="C286" s="9"/>
      <c r="D286" s="9" t="s">
        <v>1106</v>
      </c>
      <c r="E286" s="9" t="s">
        <v>689</v>
      </c>
      <c r="F286" s="9" t="s">
        <v>1107</v>
      </c>
      <c r="G286" s="7"/>
      <c r="H286" s="14"/>
      <c r="I286" s="16" t="str">
        <f>=G286*J286</f>
      </c>
      <c r="J286" s="16" t="str">
        <f>IF(EXACT(K286,"V"),K$5,0)+IF(EXACT(L286,"V"),L$5,0)+IF(EXACT(M286,"V"),M$5,0)+IF(EXACT(N286,"V"),N$5,0)+IF(EXACT(O286,"V"),O$5,0)+IF(EXACT(P286,"V"),P$5,0)+IF(EXACT(Q286,"V"),Q$5,0)</f>
      </c>
      <c r="K286" s="18"/>
      <c r="L286" s="18"/>
      <c r="M286" s="18"/>
      <c r="N286" s="18"/>
      <c r="O286" s="18"/>
      <c r="P286" s="18"/>
      <c r="Q286" s="18"/>
      <c r="R286" s="16" t="s">
        <v>19</v>
      </c>
    </row>
    <row r="287">
      <c r="A287" s="7"/>
      <c r="B287" s="9" t="s">
        <v>1108</v>
      </c>
      <c r="C287" s="9"/>
      <c r="D287" s="9" t="s">
        <v>1109</v>
      </c>
      <c r="E287" s="9" t="s">
        <v>1095</v>
      </c>
      <c r="F287" s="9" t="s">
        <v>1110</v>
      </c>
      <c r="G287" s="7"/>
      <c r="H287" s="14"/>
      <c r="I287" s="16" t="str">
        <f>=G287*J287</f>
      </c>
      <c r="J287" s="16" t="str">
        <f>IF(EXACT(K287,"V"),K$5,0)+IF(EXACT(L287,"V"),L$5,0)+IF(EXACT(M287,"V"),M$5,0)+IF(EXACT(N287,"V"),N$5,0)+IF(EXACT(O287,"V"),O$5,0)+IF(EXACT(P287,"V"),P$5,0)+IF(EXACT(Q287,"V"),Q$5,0)</f>
      </c>
      <c r="K287" s="18"/>
      <c r="L287" s="18"/>
      <c r="M287" s="18"/>
      <c r="N287" s="18"/>
      <c r="O287" s="18"/>
      <c r="P287" s="18"/>
      <c r="Q287" s="18"/>
      <c r="R287" s="16" t="s">
        <v>19</v>
      </c>
    </row>
    <row r="288">
      <c r="A288" s="6" t="s">
        <v>1111</v>
      </c>
      <c r="B288" s="8" t="s">
        <v>1112</v>
      </c>
      <c r="C288" s="8"/>
      <c r="D288" s="8" t="s">
        <v>1113</v>
      </c>
      <c r="E288" s="8" t="s">
        <v>185</v>
      </c>
      <c r="F288" s="8" t="s">
        <v>1114</v>
      </c>
      <c r="G288" s="6">
        <v>2</v>
      </c>
      <c r="H288" s="13" t="s">
        <v>1115</v>
      </c>
      <c r="I288" s="15" t="str">
        <f>=G288*J288</f>
      </c>
      <c r="J288" s="15" t="str">
        <f>IF(EXACT(K288,"V"),K$5,0)+IF(EXACT(L288,"V"),L$5,0)+IF(EXACT(M288,"V"),M$5,0)+IF(EXACT(N288,"V"),N$5,0)+IF(EXACT(O288,"V"),O$5,0)+IF(EXACT(P288,"V"),P$5,0)+IF(EXACT(Q288,"V"),Q$5,0)</f>
      </c>
      <c r="K288" s="17"/>
      <c r="L288" s="17"/>
      <c r="M288" s="17"/>
      <c r="N288" s="17"/>
      <c r="O288" s="17"/>
      <c r="P288" s="17"/>
      <c r="Q288" s="17"/>
      <c r="R288" s="15" t="s">
        <v>19</v>
      </c>
    </row>
    <row r="289">
      <c r="A289" s="6"/>
      <c r="B289" s="8" t="s">
        <v>1116</v>
      </c>
      <c r="C289" s="8"/>
      <c r="D289" s="8" t="s">
        <v>1117</v>
      </c>
      <c r="E289" s="8" t="s">
        <v>689</v>
      </c>
      <c r="F289" s="8" t="s">
        <v>1118</v>
      </c>
      <c r="G289" s="6"/>
      <c r="H289" s="13"/>
      <c r="I289" s="15" t="str">
        <f>=G289*J289</f>
      </c>
      <c r="J289" s="15" t="str">
        <f>IF(EXACT(K289,"V"),K$5,0)+IF(EXACT(L289,"V"),L$5,0)+IF(EXACT(M289,"V"),M$5,0)+IF(EXACT(N289,"V"),N$5,0)+IF(EXACT(O289,"V"),O$5,0)+IF(EXACT(P289,"V"),P$5,0)+IF(EXACT(Q289,"V"),Q$5,0)</f>
      </c>
      <c r="K289" s="17"/>
      <c r="L289" s="17"/>
      <c r="M289" s="17"/>
      <c r="N289" s="17"/>
      <c r="O289" s="17"/>
      <c r="P289" s="17"/>
      <c r="Q289" s="17"/>
      <c r="R289" s="15" t="s">
        <v>19</v>
      </c>
    </row>
    <row r="290">
      <c r="A290" s="6"/>
      <c r="B290" s="8" t="s">
        <v>1119</v>
      </c>
      <c r="C290" s="8"/>
      <c r="D290" s="8" t="s">
        <v>1120</v>
      </c>
      <c r="E290" s="8" t="s">
        <v>1095</v>
      </c>
      <c r="F290" s="8" t="s">
        <v>1121</v>
      </c>
      <c r="G290" s="6"/>
      <c r="H290" s="13"/>
      <c r="I290" s="15" t="str">
        <f>=G290*J290</f>
      </c>
      <c r="J290" s="15" t="str">
        <f>IF(EXACT(K290,"V"),K$5,0)+IF(EXACT(L290,"V"),L$5,0)+IF(EXACT(M290,"V"),M$5,0)+IF(EXACT(N290,"V"),N$5,0)+IF(EXACT(O290,"V"),O$5,0)+IF(EXACT(P290,"V"),P$5,0)+IF(EXACT(Q290,"V"),Q$5,0)</f>
      </c>
      <c r="K290" s="17"/>
      <c r="L290" s="17"/>
      <c r="M290" s="17"/>
      <c r="N290" s="17"/>
      <c r="O290" s="17"/>
      <c r="P290" s="17"/>
      <c r="Q290" s="17"/>
      <c r="R290" s="15" t="s">
        <v>19</v>
      </c>
    </row>
    <row r="291">
      <c r="A291" s="7" t="s">
        <v>1122</v>
      </c>
      <c r="B291" s="9" t="s">
        <v>1123</v>
      </c>
      <c r="C291" s="9"/>
      <c r="D291" s="9" t="s">
        <v>1124</v>
      </c>
      <c r="E291" s="9" t="s">
        <v>701</v>
      </c>
      <c r="F291" s="9" t="s">
        <v>1125</v>
      </c>
      <c r="G291" s="7">
        <v>1</v>
      </c>
      <c r="H291" s="14" t="s">
        <v>1126</v>
      </c>
      <c r="I291" s="16" t="str">
        <f>=G291*J291</f>
      </c>
      <c r="J291" s="16" t="str">
        <f>IF(EXACT(K291,"V"),K$5,0)+IF(EXACT(L291,"V"),L$5,0)+IF(EXACT(M291,"V"),M$5,0)+IF(EXACT(N291,"V"),N$5,0)+IF(EXACT(O291,"V"),O$5,0)+IF(EXACT(P291,"V"),P$5,0)+IF(EXACT(Q291,"V"),Q$5,0)</f>
      </c>
      <c r="K291" s="18"/>
      <c r="L291" s="18"/>
      <c r="M291" s="18"/>
      <c r="N291" s="18"/>
      <c r="O291" s="18"/>
      <c r="P291" s="18"/>
      <c r="Q291" s="18"/>
      <c r="R291" s="16" t="s">
        <v>19</v>
      </c>
    </row>
    <row r="292">
      <c r="A292" s="7"/>
      <c r="B292" s="9" t="s">
        <v>1127</v>
      </c>
      <c r="C292" s="9"/>
      <c r="D292" s="9" t="s">
        <v>1128</v>
      </c>
      <c r="E292" s="9" t="s">
        <v>1129</v>
      </c>
      <c r="F292" s="9" t="s">
        <v>1130</v>
      </c>
      <c r="G292" s="7"/>
      <c r="H292" s="14"/>
      <c r="I292" s="16" t="str">
        <f>=G292*J292</f>
      </c>
      <c r="J292" s="16" t="str">
        <f>IF(EXACT(K292,"V"),K$5,0)+IF(EXACT(L292,"V"),L$5,0)+IF(EXACT(M292,"V"),M$5,0)+IF(EXACT(N292,"V"),N$5,0)+IF(EXACT(O292,"V"),O$5,0)+IF(EXACT(P292,"V"),P$5,0)+IF(EXACT(Q292,"V"),Q$5,0)</f>
      </c>
      <c r="K292" s="18"/>
      <c r="L292" s="18"/>
      <c r="M292" s="18"/>
      <c r="N292" s="18"/>
      <c r="O292" s="18"/>
      <c r="P292" s="18"/>
      <c r="Q292" s="18"/>
      <c r="R292" s="16" t="s">
        <v>19</v>
      </c>
    </row>
    <row r="293">
      <c r="A293" s="7"/>
      <c r="B293" s="9" t="s">
        <v>1131</v>
      </c>
      <c r="C293" s="9"/>
      <c r="D293" s="9" t="s">
        <v>1132</v>
      </c>
      <c r="E293" s="9" t="s">
        <v>403</v>
      </c>
      <c r="F293" s="9" t="s">
        <v>1133</v>
      </c>
      <c r="G293" s="7"/>
      <c r="H293" s="14"/>
      <c r="I293" s="16" t="str">
        <f>=G293*J293</f>
      </c>
      <c r="J293" s="16" t="str">
        <f>IF(EXACT(K293,"V"),K$5,0)+IF(EXACT(L293,"V"),L$5,0)+IF(EXACT(M293,"V"),M$5,0)+IF(EXACT(N293,"V"),N$5,0)+IF(EXACT(O293,"V"),O$5,0)+IF(EXACT(P293,"V"),P$5,0)+IF(EXACT(Q293,"V"),Q$5,0)</f>
      </c>
      <c r="K293" s="18"/>
      <c r="L293" s="18"/>
      <c r="M293" s="18"/>
      <c r="N293" s="18"/>
      <c r="O293" s="18"/>
      <c r="P293" s="18"/>
      <c r="Q293" s="18"/>
      <c r="R293" s="16" t="s">
        <v>19</v>
      </c>
    </row>
    <row r="294">
      <c r="A294" s="6" t="s">
        <v>1134</v>
      </c>
      <c r="B294" s="8" t="s">
        <v>1135</v>
      </c>
      <c r="C294" s="8"/>
      <c r="D294" s="8" t="s">
        <v>1136</v>
      </c>
      <c r="E294" s="8" t="s">
        <v>701</v>
      </c>
      <c r="F294" s="8" t="s">
        <v>1137</v>
      </c>
      <c r="G294" s="6">
        <v>1</v>
      </c>
      <c r="H294" s="13" t="s">
        <v>1138</v>
      </c>
      <c r="I294" s="15" t="str">
        <f>=G294*J294</f>
      </c>
      <c r="J294" s="15" t="str">
        <f>IF(EXACT(K294,"V"),K$5,0)+IF(EXACT(L294,"V"),L$5,0)+IF(EXACT(M294,"V"),M$5,0)+IF(EXACT(N294,"V"),N$5,0)+IF(EXACT(O294,"V"),O$5,0)+IF(EXACT(P294,"V"),P$5,0)+IF(EXACT(Q294,"V"),Q$5,0)</f>
      </c>
      <c r="K294" s="17"/>
      <c r="L294" s="17"/>
      <c r="M294" s="17"/>
      <c r="N294" s="17"/>
      <c r="O294" s="17"/>
      <c r="P294" s="17"/>
      <c r="Q294" s="17"/>
      <c r="R294" s="15" t="s">
        <v>19</v>
      </c>
    </row>
    <row r="295">
      <c r="A295" s="6"/>
      <c r="B295" s="8" t="s">
        <v>1139</v>
      </c>
      <c r="C295" s="8"/>
      <c r="D295" s="8" t="s">
        <v>1140</v>
      </c>
      <c r="E295" s="8" t="s">
        <v>689</v>
      </c>
      <c r="F295" s="8" t="s">
        <v>1141</v>
      </c>
      <c r="G295" s="6"/>
      <c r="H295" s="13"/>
      <c r="I295" s="15" t="str">
        <f>=G295*J295</f>
      </c>
      <c r="J295" s="15" t="str">
        <f>IF(EXACT(K295,"V"),K$5,0)+IF(EXACT(L295,"V"),L$5,0)+IF(EXACT(M295,"V"),M$5,0)+IF(EXACT(N295,"V"),N$5,0)+IF(EXACT(O295,"V"),O$5,0)+IF(EXACT(P295,"V"),P$5,0)+IF(EXACT(Q295,"V"),Q$5,0)</f>
      </c>
      <c r="K295" s="17"/>
      <c r="L295" s="17"/>
      <c r="M295" s="17"/>
      <c r="N295" s="17"/>
      <c r="O295" s="17"/>
      <c r="P295" s="17"/>
      <c r="Q295" s="17"/>
      <c r="R295" s="15" t="s">
        <v>19</v>
      </c>
    </row>
    <row r="296">
      <c r="A296" s="6"/>
      <c r="B296" s="8" t="s">
        <v>1142</v>
      </c>
      <c r="C296" s="8"/>
      <c r="D296" s="8" t="s">
        <v>1143</v>
      </c>
      <c r="E296" s="8" t="s">
        <v>1095</v>
      </c>
      <c r="F296" s="8" t="s">
        <v>1144</v>
      </c>
      <c r="G296" s="6"/>
      <c r="H296" s="13"/>
      <c r="I296" s="15" t="str">
        <f>=G296*J296</f>
      </c>
      <c r="J296" s="15" t="str">
        <f>IF(EXACT(K296,"V"),K$5,0)+IF(EXACT(L296,"V"),L$5,0)+IF(EXACT(M296,"V"),M$5,0)+IF(EXACT(N296,"V"),N$5,0)+IF(EXACT(O296,"V"),O$5,0)+IF(EXACT(P296,"V"),P$5,0)+IF(EXACT(Q296,"V"),Q$5,0)</f>
      </c>
      <c r="K296" s="17"/>
      <c r="L296" s="17"/>
      <c r="M296" s="17"/>
      <c r="N296" s="17"/>
      <c r="O296" s="17"/>
      <c r="P296" s="17"/>
      <c r="Q296" s="17"/>
      <c r="R296" s="15" t="s">
        <v>19</v>
      </c>
    </row>
    <row r="297">
      <c r="A297" s="6"/>
      <c r="B297" s="8" t="s">
        <v>1145</v>
      </c>
      <c r="C297" s="8"/>
      <c r="D297" s="8" t="s">
        <v>1146</v>
      </c>
      <c r="E297" s="8" t="s">
        <v>403</v>
      </c>
      <c r="F297" s="8" t="s">
        <v>1147</v>
      </c>
      <c r="G297" s="6"/>
      <c r="H297" s="13"/>
      <c r="I297" s="15" t="str">
        <f>=G297*J297</f>
      </c>
      <c r="J297" s="15" t="str">
        <f>IF(EXACT(K297,"V"),K$5,0)+IF(EXACT(L297,"V"),L$5,0)+IF(EXACT(M297,"V"),M$5,0)+IF(EXACT(N297,"V"),N$5,0)+IF(EXACT(O297,"V"),O$5,0)+IF(EXACT(P297,"V"),P$5,0)+IF(EXACT(Q297,"V"),Q$5,0)</f>
      </c>
      <c r="K297" s="17"/>
      <c r="L297" s="17"/>
      <c r="M297" s="17"/>
      <c r="N297" s="17"/>
      <c r="O297" s="17"/>
      <c r="P297" s="17"/>
      <c r="Q297" s="17"/>
      <c r="R297" s="15" t="s">
        <v>19</v>
      </c>
    </row>
    <row r="298">
      <c r="A298" s="7" t="s">
        <v>1148</v>
      </c>
      <c r="B298" s="9" t="s">
        <v>1149</v>
      </c>
      <c r="C298" s="9"/>
      <c r="D298" s="9" t="s">
        <v>1150</v>
      </c>
      <c r="E298" s="9" t="s">
        <v>1129</v>
      </c>
      <c r="F298" s="9" t="s">
        <v>1151</v>
      </c>
      <c r="G298" s="7">
        <v>1</v>
      </c>
      <c r="H298" s="14" t="s">
        <v>1152</v>
      </c>
      <c r="I298" s="16" t="str">
        <f>=G298*J298</f>
      </c>
      <c r="J298" s="16" t="str">
        <f>IF(EXACT(K298,"V"),K$5,0)+IF(EXACT(L298,"V"),L$5,0)+IF(EXACT(M298,"V"),M$5,0)+IF(EXACT(N298,"V"),N$5,0)+IF(EXACT(O298,"V"),O$5,0)+IF(EXACT(P298,"V"),P$5,0)+IF(EXACT(Q298,"V"),Q$5,0)</f>
      </c>
      <c r="K298" s="18"/>
      <c r="L298" s="18"/>
      <c r="M298" s="18"/>
      <c r="N298" s="18"/>
      <c r="O298" s="18"/>
      <c r="P298" s="18"/>
      <c r="Q298" s="18"/>
      <c r="R298" s="16" t="s">
        <v>19</v>
      </c>
    </row>
    <row r="299">
      <c r="A299" s="6" t="s">
        <v>1153</v>
      </c>
      <c r="B299" s="8" t="s">
        <v>1154</v>
      </c>
      <c r="C299" s="8"/>
      <c r="D299" s="8" t="s">
        <v>634</v>
      </c>
      <c r="E299" s="8" t="s">
        <v>61</v>
      </c>
      <c r="F299" s="8" t="s">
        <v>1155</v>
      </c>
      <c r="G299" s="6">
        <v>1</v>
      </c>
      <c r="H299" s="13" t="s">
        <v>1156</v>
      </c>
      <c r="I299" s="15" t="str">
        <f>=G299*J299</f>
      </c>
      <c r="J299" s="15" t="str">
        <f>IF(EXACT(K299,"V"),K$5,0)+IF(EXACT(L299,"V"),L$5,0)+IF(EXACT(M299,"V"),M$5,0)+IF(EXACT(N299,"V"),N$5,0)+IF(EXACT(O299,"V"),O$5,0)+IF(EXACT(P299,"V"),P$5,0)+IF(EXACT(Q299,"V"),Q$5,0)</f>
      </c>
      <c r="K299" s="17"/>
      <c r="L299" s="17"/>
      <c r="M299" s="17"/>
      <c r="N299" s="17"/>
      <c r="O299" s="17"/>
      <c r="P299" s="17"/>
      <c r="Q299" s="17"/>
      <c r="R299" s="15" t="s">
        <v>19</v>
      </c>
    </row>
    <row r="300">
      <c r="A300" s="6"/>
      <c r="B300" s="8" t="s">
        <v>1157</v>
      </c>
      <c r="C300" s="8"/>
      <c r="D300" s="8" t="s">
        <v>634</v>
      </c>
      <c r="E300" s="8" t="s">
        <v>197</v>
      </c>
      <c r="F300" s="8" t="s">
        <v>1158</v>
      </c>
      <c r="G300" s="6"/>
      <c r="H300" s="13"/>
      <c r="I300" s="15" t="str">
        <f>=G300*J300</f>
      </c>
      <c r="J300" s="15" t="str">
        <f>IF(EXACT(K300,"V"),K$5,0)+IF(EXACT(L300,"V"),L$5,0)+IF(EXACT(M300,"V"),M$5,0)+IF(EXACT(N300,"V"),N$5,0)+IF(EXACT(O300,"V"),O$5,0)+IF(EXACT(P300,"V"),P$5,0)+IF(EXACT(Q300,"V"),Q$5,0)</f>
      </c>
      <c r="K300" s="17"/>
      <c r="L300" s="17"/>
      <c r="M300" s="17"/>
      <c r="N300" s="17"/>
      <c r="O300" s="17"/>
      <c r="P300" s="17"/>
      <c r="Q300" s="17"/>
      <c r="R300" s="15" t="s">
        <v>19</v>
      </c>
    </row>
    <row r="301">
      <c r="A301" s="6"/>
      <c r="B301" s="8" t="s">
        <v>1159</v>
      </c>
      <c r="C301" s="8"/>
      <c r="D301" s="8" t="s">
        <v>637</v>
      </c>
      <c r="E301" s="8" t="s">
        <v>108</v>
      </c>
      <c r="F301" s="8" t="s">
        <v>1160</v>
      </c>
      <c r="G301" s="6"/>
      <c r="H301" s="13"/>
      <c r="I301" s="15" t="str">
        <f>=G301*J301</f>
      </c>
      <c r="J301" s="15" t="str">
        <f>IF(EXACT(K301,"V"),K$5,0)+IF(EXACT(L301,"V"),L$5,0)+IF(EXACT(M301,"V"),M$5,0)+IF(EXACT(N301,"V"),N$5,0)+IF(EXACT(O301,"V"),O$5,0)+IF(EXACT(P301,"V"),P$5,0)+IF(EXACT(Q301,"V"),Q$5,0)</f>
      </c>
      <c r="K301" s="17"/>
      <c r="L301" s="17"/>
      <c r="M301" s="17"/>
      <c r="N301" s="17"/>
      <c r="O301" s="17"/>
      <c r="P301" s="17"/>
      <c r="Q301" s="17"/>
      <c r="R301" s="15" t="s">
        <v>19</v>
      </c>
    </row>
    <row r="302">
      <c r="A302" s="6"/>
      <c r="B302" s="8" t="s">
        <v>1161</v>
      </c>
      <c r="C302" s="8"/>
      <c r="D302" s="8" t="s">
        <v>646</v>
      </c>
      <c r="E302" s="8" t="s">
        <v>203</v>
      </c>
      <c r="F302" s="8" t="s">
        <v>1160</v>
      </c>
      <c r="G302" s="6"/>
      <c r="H302" s="13"/>
      <c r="I302" s="15" t="str">
        <f>=G302*J302</f>
      </c>
      <c r="J302" s="15" t="str">
        <f>IF(EXACT(K302,"V"),K$5,0)+IF(EXACT(L302,"V"),L$5,0)+IF(EXACT(M302,"V"),M$5,0)+IF(EXACT(N302,"V"),N$5,0)+IF(EXACT(O302,"V"),O$5,0)+IF(EXACT(P302,"V"),P$5,0)+IF(EXACT(Q302,"V"),Q$5,0)</f>
      </c>
      <c r="K302" s="17"/>
      <c r="L302" s="17"/>
      <c r="M302" s="17"/>
      <c r="N302" s="17"/>
      <c r="O302" s="17"/>
      <c r="P302" s="17"/>
      <c r="Q302" s="17"/>
      <c r="R302" s="15" t="s">
        <v>19</v>
      </c>
    </row>
    <row r="303">
      <c r="A303" s="6"/>
      <c r="B303" s="8" t="s">
        <v>1162</v>
      </c>
      <c r="C303" s="8"/>
      <c r="D303" s="8" t="s">
        <v>648</v>
      </c>
      <c r="E303" s="8" t="s">
        <v>115</v>
      </c>
      <c r="F303" s="8" t="s">
        <v>1163</v>
      </c>
      <c r="G303" s="6"/>
      <c r="H303" s="13"/>
      <c r="I303" s="15" t="str">
        <f>=G303*J303</f>
      </c>
      <c r="J303" s="15" t="str">
        <f>IF(EXACT(K303,"V"),K$5,0)+IF(EXACT(L303,"V"),L$5,0)+IF(EXACT(M303,"V"),M$5,0)+IF(EXACT(N303,"V"),N$5,0)+IF(EXACT(O303,"V"),O$5,0)+IF(EXACT(P303,"V"),P$5,0)+IF(EXACT(Q303,"V"),Q$5,0)</f>
      </c>
      <c r="K303" s="17"/>
      <c r="L303" s="17"/>
      <c r="M303" s="17"/>
      <c r="N303" s="17"/>
      <c r="O303" s="17"/>
      <c r="P303" s="17"/>
      <c r="Q303" s="17"/>
      <c r="R303" s="15" t="s">
        <v>19</v>
      </c>
    </row>
    <row r="304">
      <c r="A304" s="7" t="s">
        <v>1164</v>
      </c>
      <c r="B304" s="9" t="s">
        <v>1165</v>
      </c>
      <c r="C304" s="9"/>
      <c r="D304" s="9" t="s">
        <v>1166</v>
      </c>
      <c r="E304" s="9" t="s">
        <v>99</v>
      </c>
      <c r="F304" s="9" t="s">
        <v>1167</v>
      </c>
      <c r="G304" s="7">
        <v>1</v>
      </c>
      <c r="H304" s="14" t="s">
        <v>1168</v>
      </c>
      <c r="I304" s="16" t="str">
        <f>=G304*J304</f>
      </c>
      <c r="J304" s="16" t="str">
        <f>IF(EXACT(K304,"V"),K$5,0)+IF(EXACT(L304,"V"),L$5,0)+IF(EXACT(M304,"V"),M$5,0)+IF(EXACT(N304,"V"),N$5,0)+IF(EXACT(O304,"V"),O$5,0)+IF(EXACT(P304,"V"),P$5,0)+IF(EXACT(Q304,"V"),Q$5,0)</f>
      </c>
      <c r="K304" s="18"/>
      <c r="L304" s="18"/>
      <c r="M304" s="18"/>
      <c r="N304" s="18"/>
      <c r="O304" s="18"/>
      <c r="P304" s="18"/>
      <c r="Q304" s="18"/>
      <c r="R304" s="16" t="s">
        <v>19</v>
      </c>
    </row>
    <row r="305">
      <c r="A305" s="7"/>
      <c r="B305" s="9" t="s">
        <v>1169</v>
      </c>
      <c r="C305" s="9"/>
      <c r="D305" s="9" t="s">
        <v>1170</v>
      </c>
      <c r="E305" s="9" t="s">
        <v>91</v>
      </c>
      <c r="F305" s="9" t="s">
        <v>1171</v>
      </c>
      <c r="G305" s="7"/>
      <c r="H305" s="14"/>
      <c r="I305" s="16" t="str">
        <f>=G305*J305</f>
      </c>
      <c r="J305" s="16" t="str">
        <f>IF(EXACT(K305,"V"),K$5,0)+IF(EXACT(L305,"V"),L$5,0)+IF(EXACT(M305,"V"),M$5,0)+IF(EXACT(N305,"V"),N$5,0)+IF(EXACT(O305,"V"),O$5,0)+IF(EXACT(P305,"V"),P$5,0)+IF(EXACT(Q305,"V"),Q$5,0)</f>
      </c>
      <c r="K305" s="18"/>
      <c r="L305" s="18"/>
      <c r="M305" s="18"/>
      <c r="N305" s="18"/>
      <c r="O305" s="18"/>
      <c r="P305" s="18"/>
      <c r="Q305" s="18"/>
      <c r="R305" s="16" t="s">
        <v>19</v>
      </c>
    </row>
    <row r="306">
      <c r="A306" s="7"/>
      <c r="B306" s="9" t="s">
        <v>1172</v>
      </c>
      <c r="C306" s="9"/>
      <c r="D306" s="9" t="s">
        <v>1173</v>
      </c>
      <c r="E306" s="9" t="s">
        <v>95</v>
      </c>
      <c r="F306" s="9" t="s">
        <v>1174</v>
      </c>
      <c r="G306" s="7"/>
      <c r="H306" s="14"/>
      <c r="I306" s="16" t="str">
        <f>=G306*J306</f>
      </c>
      <c r="J306" s="16" t="str">
        <f>IF(EXACT(K306,"V"),K$5,0)+IF(EXACT(L306,"V"),L$5,0)+IF(EXACT(M306,"V"),M$5,0)+IF(EXACT(N306,"V"),N$5,0)+IF(EXACT(O306,"V"),O$5,0)+IF(EXACT(P306,"V"),P$5,0)+IF(EXACT(Q306,"V"),Q$5,0)</f>
      </c>
      <c r="K306" s="18"/>
      <c r="L306" s="18"/>
      <c r="M306" s="18"/>
      <c r="N306" s="18"/>
      <c r="O306" s="18"/>
      <c r="P306" s="18"/>
      <c r="Q306" s="18"/>
      <c r="R306" s="16" t="s">
        <v>19</v>
      </c>
    </row>
    <row r="307">
      <c r="A307" s="6" t="s">
        <v>1175</v>
      </c>
      <c r="B307" s="8" t="s">
        <v>1176</v>
      </c>
      <c r="C307" s="8"/>
      <c r="D307" s="8" t="s">
        <v>1177</v>
      </c>
      <c r="E307" s="8" t="s">
        <v>112</v>
      </c>
      <c r="F307" s="8" t="s">
        <v>1178</v>
      </c>
      <c r="G307" s="6">
        <v>1</v>
      </c>
      <c r="H307" s="13" t="s">
        <v>1179</v>
      </c>
      <c r="I307" s="15" t="str">
        <f>=G307*J307</f>
      </c>
      <c r="J307" s="15" t="str">
        <f>IF(EXACT(K307,"V"),K$5,0)+IF(EXACT(L307,"V"),L$5,0)+IF(EXACT(M307,"V"),M$5,0)+IF(EXACT(N307,"V"),N$5,0)+IF(EXACT(O307,"V"),O$5,0)+IF(EXACT(P307,"V"),P$5,0)+IF(EXACT(Q307,"V"),Q$5,0)</f>
      </c>
      <c r="K307" s="17"/>
      <c r="L307" s="17"/>
      <c r="M307" s="17"/>
      <c r="N307" s="17"/>
      <c r="O307" s="17"/>
      <c r="P307" s="17"/>
      <c r="Q307" s="17"/>
      <c r="R307" s="15" t="s">
        <v>19</v>
      </c>
    </row>
    <row r="308">
      <c r="A308" s="6"/>
      <c r="B308" s="8" t="s">
        <v>1180</v>
      </c>
      <c r="C308" s="8"/>
      <c r="D308" s="8" t="s">
        <v>1181</v>
      </c>
      <c r="E308" s="8" t="s">
        <v>671</v>
      </c>
      <c r="F308" s="8" t="s">
        <v>1182</v>
      </c>
      <c r="G308" s="6"/>
      <c r="H308" s="13"/>
      <c r="I308" s="15" t="str">
        <f>=G308*J308</f>
      </c>
      <c r="J308" s="15" t="str">
        <f>IF(EXACT(K308,"V"),K$5,0)+IF(EXACT(L308,"V"),L$5,0)+IF(EXACT(M308,"V"),M$5,0)+IF(EXACT(N308,"V"),N$5,0)+IF(EXACT(O308,"V"),O$5,0)+IF(EXACT(P308,"V"),P$5,0)+IF(EXACT(Q308,"V"),Q$5,0)</f>
      </c>
      <c r="K308" s="17"/>
      <c r="L308" s="17"/>
      <c r="M308" s="17"/>
      <c r="N308" s="17"/>
      <c r="O308" s="17"/>
      <c r="P308" s="17"/>
      <c r="Q308" s="17"/>
      <c r="R308" s="15" t="s">
        <v>19</v>
      </c>
    </row>
    <row r="309">
      <c r="A309" s="6"/>
      <c r="B309" s="8" t="s">
        <v>1183</v>
      </c>
      <c r="C309" s="8"/>
      <c r="D309" s="8" t="s">
        <v>1184</v>
      </c>
      <c r="E309" s="8" t="s">
        <v>61</v>
      </c>
      <c r="F309" s="8" t="s">
        <v>1185</v>
      </c>
      <c r="G309" s="6"/>
      <c r="H309" s="13"/>
      <c r="I309" s="15" t="str">
        <f>=G309*J309</f>
      </c>
      <c r="J309" s="15" t="str">
        <f>IF(EXACT(K309,"V"),K$5,0)+IF(EXACT(L309,"V"),L$5,0)+IF(EXACT(M309,"V"),M$5,0)+IF(EXACT(N309,"V"),N$5,0)+IF(EXACT(O309,"V"),O$5,0)+IF(EXACT(P309,"V"),P$5,0)+IF(EXACT(Q309,"V"),Q$5,0)</f>
      </c>
      <c r="K309" s="17"/>
      <c r="L309" s="17"/>
      <c r="M309" s="17"/>
      <c r="N309" s="17"/>
      <c r="O309" s="17"/>
      <c r="P309" s="17"/>
      <c r="Q309" s="17"/>
      <c r="R309" s="15" t="s">
        <v>19</v>
      </c>
    </row>
    <row r="310">
      <c r="A310" s="6"/>
      <c r="B310" s="8" t="s">
        <v>1186</v>
      </c>
      <c r="C310" s="8"/>
      <c r="D310" s="8" t="s">
        <v>1187</v>
      </c>
      <c r="E310" s="8" t="s">
        <v>1042</v>
      </c>
      <c r="F310" s="8" t="s">
        <v>1188</v>
      </c>
      <c r="G310" s="6"/>
      <c r="H310" s="13"/>
      <c r="I310" s="15" t="str">
        <f>=G310*J310</f>
      </c>
      <c r="J310" s="15" t="str">
        <f>IF(EXACT(K310,"V"),K$5,0)+IF(EXACT(L310,"V"),L$5,0)+IF(EXACT(M310,"V"),M$5,0)+IF(EXACT(N310,"V"),N$5,0)+IF(EXACT(O310,"V"),O$5,0)+IF(EXACT(P310,"V"),P$5,0)+IF(EXACT(Q310,"V"),Q$5,0)</f>
      </c>
      <c r="K310" s="17"/>
      <c r="L310" s="17"/>
      <c r="M310" s="17"/>
      <c r="N310" s="17"/>
      <c r="O310" s="17"/>
      <c r="P310" s="17"/>
      <c r="Q310" s="17"/>
      <c r="R310" s="15" t="s">
        <v>19</v>
      </c>
    </row>
    <row r="311">
      <c r="A311" s="7" t="s">
        <v>1189</v>
      </c>
      <c r="B311" s="9" t="s">
        <v>1190</v>
      </c>
      <c r="C311" s="9"/>
      <c r="D311" s="9" t="s">
        <v>1191</v>
      </c>
      <c r="E311" s="9" t="s">
        <v>61</v>
      </c>
      <c r="F311" s="9" t="s">
        <v>1192</v>
      </c>
      <c r="G311" s="7">
        <v>2</v>
      </c>
      <c r="H311" s="14" t="s">
        <v>1193</v>
      </c>
      <c r="I311" s="16" t="str">
        <f>=G311*J311</f>
      </c>
      <c r="J311" s="16" t="str">
        <f>IF(EXACT(K311,"V"),K$5,0)+IF(EXACT(L311,"V"),L$5,0)+IF(EXACT(M311,"V"),M$5,0)+IF(EXACT(N311,"V"),N$5,0)+IF(EXACT(O311,"V"),O$5,0)+IF(EXACT(P311,"V"),P$5,0)+IF(EXACT(Q311,"V"),Q$5,0)</f>
      </c>
      <c r="K311" s="18"/>
      <c r="L311" s="18"/>
      <c r="M311" s="18"/>
      <c r="N311" s="18"/>
      <c r="O311" s="18"/>
      <c r="P311" s="18"/>
      <c r="Q311" s="18"/>
      <c r="R311" s="16" t="s">
        <v>19</v>
      </c>
    </row>
    <row r="312">
      <c r="A312" s="7"/>
      <c r="B312" s="9" t="s">
        <v>1194</v>
      </c>
      <c r="C312" s="9"/>
      <c r="D312" s="9" t="s">
        <v>1195</v>
      </c>
      <c r="E312" s="9" t="s">
        <v>108</v>
      </c>
      <c r="F312" s="9" t="s">
        <v>1196</v>
      </c>
      <c r="G312" s="7"/>
      <c r="H312" s="14"/>
      <c r="I312" s="16" t="str">
        <f>=G312*J312</f>
      </c>
      <c r="J312" s="16" t="str">
        <f>IF(EXACT(K312,"V"),K$5,0)+IF(EXACT(L312,"V"),L$5,0)+IF(EXACT(M312,"V"),M$5,0)+IF(EXACT(N312,"V"),N$5,0)+IF(EXACT(O312,"V"),O$5,0)+IF(EXACT(P312,"V"),P$5,0)+IF(EXACT(Q312,"V"),Q$5,0)</f>
      </c>
      <c r="K312" s="18"/>
      <c r="L312" s="18"/>
      <c r="M312" s="18"/>
      <c r="N312" s="18"/>
      <c r="O312" s="18"/>
      <c r="P312" s="18"/>
      <c r="Q312" s="18"/>
      <c r="R312" s="16" t="s">
        <v>19</v>
      </c>
    </row>
    <row r="313">
      <c r="A313" s="7"/>
      <c r="B313" s="9" t="s">
        <v>1197</v>
      </c>
      <c r="C313" s="9"/>
      <c r="D313" s="9" t="s">
        <v>1198</v>
      </c>
      <c r="E313" s="9" t="s">
        <v>671</v>
      </c>
      <c r="F313" s="9" t="s">
        <v>1199</v>
      </c>
      <c r="G313" s="7"/>
      <c r="H313" s="14"/>
      <c r="I313" s="16" t="str">
        <f>=G313*J313</f>
      </c>
      <c r="J313" s="16" t="str">
        <f>IF(EXACT(K313,"V"),K$5,0)+IF(EXACT(L313,"V"),L$5,0)+IF(EXACT(M313,"V"),M$5,0)+IF(EXACT(N313,"V"),N$5,0)+IF(EXACT(O313,"V"),O$5,0)+IF(EXACT(P313,"V"),P$5,0)+IF(EXACT(Q313,"V"),Q$5,0)</f>
      </c>
      <c r="K313" s="18"/>
      <c r="L313" s="18"/>
      <c r="M313" s="18"/>
      <c r="N313" s="18"/>
      <c r="O313" s="18"/>
      <c r="P313" s="18"/>
      <c r="Q313" s="18"/>
      <c r="R313" s="16" t="s">
        <v>19</v>
      </c>
    </row>
    <row r="314">
      <c r="A314" s="7"/>
      <c r="B314" s="9" t="s">
        <v>1200</v>
      </c>
      <c r="C314" s="9"/>
      <c r="D314" s="9" t="s">
        <v>1201</v>
      </c>
      <c r="E314" s="9" t="s">
        <v>112</v>
      </c>
      <c r="F314" s="9" t="s">
        <v>1202</v>
      </c>
      <c r="G314" s="7"/>
      <c r="H314" s="14"/>
      <c r="I314" s="16" t="str">
        <f>=G314*J314</f>
      </c>
      <c r="J314" s="16" t="str">
        <f>IF(EXACT(K314,"V"),K$5,0)+IF(EXACT(L314,"V"),L$5,0)+IF(EXACT(M314,"V"),M$5,0)+IF(EXACT(N314,"V"),N$5,0)+IF(EXACT(O314,"V"),O$5,0)+IF(EXACT(P314,"V"),P$5,0)+IF(EXACT(Q314,"V"),Q$5,0)</f>
      </c>
      <c r="K314" s="18"/>
      <c r="L314" s="18"/>
      <c r="M314" s="18"/>
      <c r="N314" s="18"/>
      <c r="O314" s="18"/>
      <c r="P314" s="18"/>
      <c r="Q314" s="18"/>
      <c r="R314" s="16" t="s">
        <v>19</v>
      </c>
    </row>
    <row r="315">
      <c r="A315" s="7"/>
      <c r="B315" s="9" t="s">
        <v>1203</v>
      </c>
      <c r="C315" s="9"/>
      <c r="D315" s="9" t="s">
        <v>1204</v>
      </c>
      <c r="E315" s="9" t="s">
        <v>203</v>
      </c>
      <c r="F315" s="9" t="s">
        <v>1205</v>
      </c>
      <c r="G315" s="7"/>
      <c r="H315" s="14"/>
      <c r="I315" s="16" t="str">
        <f>=G315*J315</f>
      </c>
      <c r="J315" s="16" t="str">
        <f>IF(EXACT(K315,"V"),K$5,0)+IF(EXACT(L315,"V"),L$5,0)+IF(EXACT(M315,"V"),M$5,0)+IF(EXACT(N315,"V"),N$5,0)+IF(EXACT(O315,"V"),O$5,0)+IF(EXACT(P315,"V"),P$5,0)+IF(EXACT(Q315,"V"),Q$5,0)</f>
      </c>
      <c r="K315" s="18"/>
      <c r="L315" s="18"/>
      <c r="M315" s="18"/>
      <c r="N315" s="18"/>
      <c r="O315" s="18"/>
      <c r="P315" s="18"/>
      <c r="Q315" s="18"/>
      <c r="R315" s="16" t="s">
        <v>19</v>
      </c>
    </row>
    <row r="316">
      <c r="A316" s="7"/>
      <c r="B316" s="9" t="s">
        <v>1206</v>
      </c>
      <c r="C316" s="9"/>
      <c r="D316" s="9" t="s">
        <v>1207</v>
      </c>
      <c r="E316" s="9" t="s">
        <v>115</v>
      </c>
      <c r="F316" s="9" t="s">
        <v>1208</v>
      </c>
      <c r="G316" s="7"/>
      <c r="H316" s="14"/>
      <c r="I316" s="16" t="str">
        <f>=G316*J316</f>
      </c>
      <c r="J316" s="16" t="str">
        <f>IF(EXACT(K316,"V"),K$5,0)+IF(EXACT(L316,"V"),L$5,0)+IF(EXACT(M316,"V"),M$5,0)+IF(EXACT(N316,"V"),N$5,0)+IF(EXACT(O316,"V"),O$5,0)+IF(EXACT(P316,"V"),P$5,0)+IF(EXACT(Q316,"V"),Q$5,0)</f>
      </c>
      <c r="K316" s="18"/>
      <c r="L316" s="18"/>
      <c r="M316" s="18"/>
      <c r="N316" s="18"/>
      <c r="O316" s="18"/>
      <c r="P316" s="18"/>
      <c r="Q316" s="18"/>
      <c r="R316" s="16" t="s">
        <v>19</v>
      </c>
    </row>
    <row r="317">
      <c r="A317" s="6" t="s">
        <v>1209</v>
      </c>
      <c r="B317" s="8" t="s">
        <v>1210</v>
      </c>
      <c r="C317" s="8"/>
      <c r="D317" s="8" t="s">
        <v>1211</v>
      </c>
      <c r="E317" s="8" t="s">
        <v>82</v>
      </c>
      <c r="F317" s="8" t="s">
        <v>1212</v>
      </c>
      <c r="G317" s="6">
        <v>9</v>
      </c>
      <c r="H317" s="13" t="s">
        <v>1213</v>
      </c>
      <c r="I317" s="15" t="str">
        <f>=G317*J317</f>
      </c>
      <c r="J317" s="15" t="str">
        <f>IF(EXACT(K317,"V"),K$5,0)+IF(EXACT(L317,"V"),L$5,0)+IF(EXACT(M317,"V"),M$5,0)+IF(EXACT(N317,"V"),N$5,0)+IF(EXACT(O317,"V"),O$5,0)+IF(EXACT(P317,"V"),P$5,0)+IF(EXACT(Q317,"V"),Q$5,0)</f>
      </c>
      <c r="K317" s="17"/>
      <c r="L317" s="17"/>
      <c r="M317" s="17"/>
      <c r="N317" s="17"/>
      <c r="O317" s="17"/>
      <c r="P317" s="17"/>
      <c r="Q317" s="17"/>
      <c r="R317" s="15" t="s">
        <v>19</v>
      </c>
    </row>
    <row r="318">
      <c r="A318" s="6"/>
      <c r="B318" s="8" t="s">
        <v>1214</v>
      </c>
      <c r="C318" s="8"/>
      <c r="D318" s="8" t="s">
        <v>1215</v>
      </c>
      <c r="E318" s="8" t="s">
        <v>95</v>
      </c>
      <c r="F318" s="8" t="s">
        <v>1216</v>
      </c>
      <c r="G318" s="6"/>
      <c r="H318" s="13"/>
      <c r="I318" s="15" t="str">
        <f>=G318*J318</f>
      </c>
      <c r="J318" s="15" t="str">
        <f>IF(EXACT(K318,"V"),K$5,0)+IF(EXACT(L318,"V"),L$5,0)+IF(EXACT(M318,"V"),M$5,0)+IF(EXACT(N318,"V"),N$5,0)+IF(EXACT(O318,"V"),O$5,0)+IF(EXACT(P318,"V"),P$5,0)+IF(EXACT(Q318,"V"),Q$5,0)</f>
      </c>
      <c r="K318" s="17"/>
      <c r="L318" s="17"/>
      <c r="M318" s="17"/>
      <c r="N318" s="17"/>
      <c r="O318" s="17"/>
      <c r="P318" s="17"/>
      <c r="Q318" s="17"/>
      <c r="R318" s="15" t="s">
        <v>19</v>
      </c>
    </row>
    <row r="319">
      <c r="A319" s="6"/>
      <c r="B319" s="8" t="s">
        <v>1217</v>
      </c>
      <c r="C319" s="8"/>
      <c r="D319" s="8" t="s">
        <v>1218</v>
      </c>
      <c r="E319" s="8" t="s">
        <v>146</v>
      </c>
      <c r="F319" s="8" t="s">
        <v>1219</v>
      </c>
      <c r="G319" s="6"/>
      <c r="H319" s="13"/>
      <c r="I319" s="15" t="str">
        <f>=G319*J319</f>
      </c>
      <c r="J319" s="15" t="str">
        <f>IF(EXACT(K319,"V"),K$5,0)+IF(EXACT(L319,"V"),L$5,0)+IF(EXACT(M319,"V"),M$5,0)+IF(EXACT(N319,"V"),N$5,0)+IF(EXACT(O319,"V"),O$5,0)+IF(EXACT(P319,"V"),P$5,0)+IF(EXACT(Q319,"V"),Q$5,0)</f>
      </c>
      <c r="K319" s="17"/>
      <c r="L319" s="17"/>
      <c r="M319" s="17"/>
      <c r="N319" s="17"/>
      <c r="O319" s="17"/>
      <c r="P319" s="17"/>
      <c r="Q319" s="17"/>
      <c r="R319" s="15" t="s">
        <v>19</v>
      </c>
    </row>
    <row r="320">
      <c r="A320" s="7" t="s">
        <v>1220</v>
      </c>
      <c r="B320" s="9" t="s">
        <v>1221</v>
      </c>
      <c r="C320" s="9"/>
      <c r="D320" s="9" t="s">
        <v>1222</v>
      </c>
      <c r="E320" s="9" t="s">
        <v>126</v>
      </c>
      <c r="F320" s="9" t="s">
        <v>1223</v>
      </c>
      <c r="G320" s="7">
        <v>1</v>
      </c>
      <c r="H320" s="14" t="s">
        <v>1224</v>
      </c>
      <c r="I320" s="16" t="str">
        <f>=G320*J320</f>
      </c>
      <c r="J320" s="16" t="str">
        <f>IF(EXACT(K320,"V"),K$5,0)+IF(EXACT(L320,"V"),L$5,0)+IF(EXACT(M320,"V"),M$5,0)+IF(EXACT(N320,"V"),N$5,0)+IF(EXACT(O320,"V"),O$5,0)+IF(EXACT(P320,"V"),P$5,0)+IF(EXACT(Q320,"V"),Q$5,0)</f>
      </c>
      <c r="K320" s="18"/>
      <c r="L320" s="18"/>
      <c r="M320" s="18"/>
      <c r="N320" s="18"/>
      <c r="O320" s="18"/>
      <c r="P320" s="18"/>
      <c r="Q320" s="18"/>
      <c r="R320" s="16" t="s">
        <v>19</v>
      </c>
    </row>
    <row r="321">
      <c r="A321" s="7"/>
      <c r="B321" s="9" t="s">
        <v>1225</v>
      </c>
      <c r="C321" s="9"/>
      <c r="D321" s="9" t="s">
        <v>1226</v>
      </c>
      <c r="E321" s="9" t="s">
        <v>1227</v>
      </c>
      <c r="F321" s="9" t="s">
        <v>1228</v>
      </c>
      <c r="G321" s="7"/>
      <c r="H321" s="14"/>
      <c r="I321" s="16" t="str">
        <f>=G321*J321</f>
      </c>
      <c r="J321" s="16" t="str">
        <f>IF(EXACT(K321,"V"),K$5,0)+IF(EXACT(L321,"V"),L$5,0)+IF(EXACT(M321,"V"),M$5,0)+IF(EXACT(N321,"V"),N$5,0)+IF(EXACT(O321,"V"),O$5,0)+IF(EXACT(P321,"V"),P$5,0)+IF(EXACT(Q321,"V"),Q$5,0)</f>
      </c>
      <c r="K321" s="18"/>
      <c r="L321" s="18"/>
      <c r="M321" s="18"/>
      <c r="N321" s="18"/>
      <c r="O321" s="18"/>
      <c r="P321" s="18"/>
      <c r="Q321" s="18"/>
      <c r="R321" s="16" t="s">
        <v>19</v>
      </c>
    </row>
    <row r="322">
      <c r="A322" s="7"/>
      <c r="B322" s="9" t="s">
        <v>1229</v>
      </c>
      <c r="C322" s="9"/>
      <c r="D322" s="9" t="s">
        <v>1230</v>
      </c>
      <c r="E322" s="9" t="s">
        <v>416</v>
      </c>
      <c r="F322" s="9" t="s">
        <v>1231</v>
      </c>
      <c r="G322" s="7"/>
      <c r="H322" s="14"/>
      <c r="I322" s="16" t="str">
        <f>=G322*J322</f>
      </c>
      <c r="J322" s="16" t="str">
        <f>IF(EXACT(K322,"V"),K$5,0)+IF(EXACT(L322,"V"),L$5,0)+IF(EXACT(M322,"V"),M$5,0)+IF(EXACT(N322,"V"),N$5,0)+IF(EXACT(O322,"V"),O$5,0)+IF(EXACT(P322,"V"),P$5,0)+IF(EXACT(Q322,"V"),Q$5,0)</f>
      </c>
      <c r="K322" s="18"/>
      <c r="L322" s="18"/>
      <c r="M322" s="18"/>
      <c r="N322" s="18"/>
      <c r="O322" s="18"/>
      <c r="P322" s="18"/>
      <c r="Q322" s="18"/>
      <c r="R322" s="16" t="s">
        <v>19</v>
      </c>
    </row>
    <row r="323">
      <c r="A323" s="7"/>
      <c r="B323" s="9" t="s">
        <v>1232</v>
      </c>
      <c r="C323" s="9"/>
      <c r="D323" s="9" t="s">
        <v>1233</v>
      </c>
      <c r="E323" s="9" t="s">
        <v>403</v>
      </c>
      <c r="F323" s="9" t="s">
        <v>1234</v>
      </c>
      <c r="G323" s="7"/>
      <c r="H323" s="14"/>
      <c r="I323" s="16" t="str">
        <f>=G323*J323</f>
      </c>
      <c r="J323" s="16" t="str">
        <f>IF(EXACT(K323,"V"),K$5,0)+IF(EXACT(L323,"V"),L$5,0)+IF(EXACT(M323,"V"),M$5,0)+IF(EXACT(N323,"V"),N$5,0)+IF(EXACT(O323,"V"),O$5,0)+IF(EXACT(P323,"V"),P$5,0)+IF(EXACT(Q323,"V"),Q$5,0)</f>
      </c>
      <c r="K323" s="18"/>
      <c r="L323" s="18"/>
      <c r="M323" s="18"/>
      <c r="N323" s="18"/>
      <c r="O323" s="18"/>
      <c r="P323" s="18"/>
      <c r="Q323" s="18"/>
      <c r="R323" s="16" t="s">
        <v>19</v>
      </c>
    </row>
    <row r="324">
      <c r="A324" s="7"/>
      <c r="B324" s="9" t="s">
        <v>1235</v>
      </c>
      <c r="C324" s="9"/>
      <c r="D324" s="9" t="s">
        <v>1236</v>
      </c>
      <c r="E324" s="9" t="s">
        <v>407</v>
      </c>
      <c r="F324" s="9" t="s">
        <v>1237</v>
      </c>
      <c r="G324" s="7"/>
      <c r="H324" s="14"/>
      <c r="I324" s="16" t="str">
        <f>=G324*J324</f>
      </c>
      <c r="J324" s="16" t="str">
        <f>IF(EXACT(K324,"V"),K$5,0)+IF(EXACT(L324,"V"),L$5,0)+IF(EXACT(M324,"V"),M$5,0)+IF(EXACT(N324,"V"),N$5,0)+IF(EXACT(O324,"V"),O$5,0)+IF(EXACT(P324,"V"),P$5,0)+IF(EXACT(Q324,"V"),Q$5,0)</f>
      </c>
      <c r="K324" s="18"/>
      <c r="L324" s="18"/>
      <c r="M324" s="18"/>
      <c r="N324" s="18"/>
      <c r="O324" s="18"/>
      <c r="P324" s="18"/>
      <c r="Q324" s="18"/>
      <c r="R324" s="16" t="s">
        <v>19</v>
      </c>
    </row>
    <row r="325">
      <c r="A325" s="7"/>
      <c r="B325" s="9" t="s">
        <v>1238</v>
      </c>
      <c r="C325" s="9"/>
      <c r="D325" s="9" t="s">
        <v>1239</v>
      </c>
      <c r="E325" s="9" t="s">
        <v>69</v>
      </c>
      <c r="F325" s="9" t="s">
        <v>1240</v>
      </c>
      <c r="G325" s="7"/>
      <c r="H325" s="14"/>
      <c r="I325" s="16" t="str">
        <f>=G325*J325</f>
      </c>
      <c r="J325" s="16" t="str">
        <f>IF(EXACT(K325,"V"),K$5,0)+IF(EXACT(L325,"V"),L$5,0)+IF(EXACT(M325,"V"),M$5,0)+IF(EXACT(N325,"V"),N$5,0)+IF(EXACT(O325,"V"),O$5,0)+IF(EXACT(P325,"V"),P$5,0)+IF(EXACT(Q325,"V"),Q$5,0)</f>
      </c>
      <c r="K325" s="18"/>
      <c r="L325" s="18"/>
      <c r="M325" s="18"/>
      <c r="N325" s="18"/>
      <c r="O325" s="18"/>
      <c r="P325" s="18"/>
      <c r="Q325" s="18"/>
      <c r="R325" s="16" t="s">
        <v>19</v>
      </c>
    </row>
    <row r="326">
      <c r="A326" s="6" t="s">
        <v>1241</v>
      </c>
      <c r="B326" s="8" t="s">
        <v>1242</v>
      </c>
      <c r="C326" s="8"/>
      <c r="D326" s="8" t="s">
        <v>1243</v>
      </c>
      <c r="E326" s="8" t="s">
        <v>712</v>
      </c>
      <c r="F326" s="8" t="s">
        <v>1244</v>
      </c>
      <c r="G326" s="6">
        <v>1</v>
      </c>
      <c r="H326" s="13" t="s">
        <v>1245</v>
      </c>
      <c r="I326" s="15" t="str">
        <f>=G326*J326</f>
      </c>
      <c r="J326" s="15" t="str">
        <f>IF(EXACT(K326,"V"),K$5,0)+IF(EXACT(L326,"V"),L$5,0)+IF(EXACT(M326,"V"),M$5,0)+IF(EXACT(N326,"V"),N$5,0)+IF(EXACT(O326,"V"),O$5,0)+IF(EXACT(P326,"V"),P$5,0)+IF(EXACT(Q326,"V"),Q$5,0)</f>
      </c>
      <c r="K326" s="17"/>
      <c r="L326" s="17"/>
      <c r="M326" s="17"/>
      <c r="N326" s="17"/>
      <c r="O326" s="17"/>
      <c r="P326" s="17"/>
      <c r="Q326" s="17"/>
      <c r="R326" s="15" t="s">
        <v>19</v>
      </c>
    </row>
    <row r="327">
      <c r="A327" s="7" t="s">
        <v>1246</v>
      </c>
      <c r="B327" s="9" t="s">
        <v>1247</v>
      </c>
      <c r="C327" s="9"/>
      <c r="D327" s="9" t="s">
        <v>1248</v>
      </c>
      <c r="E327" s="9" t="s">
        <v>1249</v>
      </c>
      <c r="F327" s="9" t="s">
        <v>1250</v>
      </c>
      <c r="G327" s="7">
        <v>1</v>
      </c>
      <c r="H327" s="14" t="s">
        <v>1251</v>
      </c>
      <c r="I327" s="16" t="str">
        <f>=G327*J327</f>
      </c>
      <c r="J327" s="16" t="str">
        <f>IF(EXACT(K327,"V"),K$5,0)+IF(EXACT(L327,"V"),L$5,0)+IF(EXACT(M327,"V"),M$5,0)+IF(EXACT(N327,"V"),N$5,0)+IF(EXACT(O327,"V"),O$5,0)+IF(EXACT(P327,"V"),P$5,0)+IF(EXACT(Q327,"V"),Q$5,0)</f>
      </c>
      <c r="K327" s="18"/>
      <c r="L327" s="18"/>
      <c r="M327" s="18"/>
      <c r="N327" s="18"/>
      <c r="O327" s="18"/>
      <c r="P327" s="18"/>
      <c r="Q327" s="18"/>
      <c r="R327" s="16" t="s">
        <v>19</v>
      </c>
    </row>
    <row r="328">
      <c r="A328" s="6" t="s">
        <v>1252</v>
      </c>
      <c r="B328" s="8" t="s">
        <v>1253</v>
      </c>
      <c r="C328" s="8"/>
      <c r="D328" s="8" t="s">
        <v>1254</v>
      </c>
      <c r="E328" s="8" t="s">
        <v>593</v>
      </c>
      <c r="F328" s="8" t="s">
        <v>1255</v>
      </c>
      <c r="G328" s="6">
        <v>1</v>
      </c>
      <c r="H328" s="13" t="s">
        <v>1256</v>
      </c>
      <c r="I328" s="15" t="str">
        <f>=G328*J328</f>
      </c>
      <c r="J328" s="15" t="str">
        <f>IF(EXACT(K328,"V"),K$5,0)+IF(EXACT(L328,"V"),L$5,0)+IF(EXACT(M328,"V"),M$5,0)+IF(EXACT(N328,"V"),N$5,0)+IF(EXACT(O328,"V"),O$5,0)+IF(EXACT(P328,"V"),P$5,0)+IF(EXACT(Q328,"V"),Q$5,0)</f>
      </c>
      <c r="K328" s="17"/>
      <c r="L328" s="17"/>
      <c r="M328" s="17"/>
      <c r="N328" s="17"/>
      <c r="O328" s="17"/>
      <c r="P328" s="17"/>
      <c r="Q328" s="17"/>
      <c r="R328" s="15" t="s">
        <v>19</v>
      </c>
    </row>
    <row r="329">
      <c r="A329" s="6"/>
      <c r="B329" s="8" t="s">
        <v>1257</v>
      </c>
      <c r="C329" s="8"/>
      <c r="D329" s="8" t="s">
        <v>1258</v>
      </c>
      <c r="E329" s="8" t="s">
        <v>593</v>
      </c>
      <c r="F329" s="8" t="s">
        <v>1259</v>
      </c>
      <c r="G329" s="6"/>
      <c r="H329" s="13"/>
      <c r="I329" s="15" t="str">
        <f>=G329*J329</f>
      </c>
      <c r="J329" s="15" t="str">
        <f>IF(EXACT(K329,"V"),K$5,0)+IF(EXACT(L329,"V"),L$5,0)+IF(EXACT(M329,"V"),M$5,0)+IF(EXACT(N329,"V"),N$5,0)+IF(EXACT(O329,"V"),O$5,0)+IF(EXACT(P329,"V"),P$5,0)+IF(EXACT(Q329,"V"),Q$5,0)</f>
      </c>
      <c r="K329" s="17"/>
      <c r="L329" s="17"/>
      <c r="M329" s="17"/>
      <c r="N329" s="17"/>
      <c r="O329" s="17"/>
      <c r="P329" s="17"/>
      <c r="Q329" s="17"/>
      <c r="R329" s="15" t="s">
        <v>19</v>
      </c>
    </row>
    <row r="330">
      <c r="A330" s="7" t="s">
        <v>1260</v>
      </c>
      <c r="B330" s="9" t="s">
        <v>1261</v>
      </c>
      <c r="C330" s="9"/>
      <c r="D330" s="9" t="s">
        <v>1262</v>
      </c>
      <c r="E330" s="9" t="s">
        <v>23</v>
      </c>
      <c r="F330" s="9" t="s">
        <v>1263</v>
      </c>
      <c r="G330" s="7">
        <v>8</v>
      </c>
      <c r="H330" s="14" t="s">
        <v>1264</v>
      </c>
      <c r="I330" s="16" t="str">
        <f>=G330*J330</f>
      </c>
      <c r="J330" s="16" t="str">
        <f>IF(EXACT(K330,"V"),K$5,0)+IF(EXACT(L330,"V"),L$5,0)+IF(EXACT(M330,"V"),M$5,0)+IF(EXACT(N330,"V"),N$5,0)+IF(EXACT(O330,"V"),O$5,0)+IF(EXACT(P330,"V"),P$5,0)+IF(EXACT(Q330,"V"),Q$5,0)</f>
      </c>
      <c r="K330" s="18"/>
      <c r="L330" s="18"/>
      <c r="M330" s="18"/>
      <c r="N330" s="18"/>
      <c r="O330" s="18"/>
      <c r="P330" s="18"/>
      <c r="Q330" s="18"/>
      <c r="R330" s="16" t="s">
        <v>19</v>
      </c>
    </row>
    <row r="331">
      <c r="A331" s="7"/>
      <c r="B331" s="9" t="s">
        <v>1265</v>
      </c>
      <c r="C331" s="9"/>
      <c r="D331" s="9" t="s">
        <v>1266</v>
      </c>
      <c r="E331" s="9" t="s">
        <v>185</v>
      </c>
      <c r="F331" s="9" t="s">
        <v>1267</v>
      </c>
      <c r="G331" s="7"/>
      <c r="H331" s="14"/>
      <c r="I331" s="16" t="str">
        <f>=G331*J331</f>
      </c>
      <c r="J331" s="16" t="str">
        <f>IF(EXACT(K331,"V"),K$5,0)+IF(EXACT(L331,"V"),L$5,0)+IF(EXACT(M331,"V"),M$5,0)+IF(EXACT(N331,"V"),N$5,0)+IF(EXACT(O331,"V"),O$5,0)+IF(EXACT(P331,"V"),P$5,0)+IF(EXACT(Q331,"V"),Q$5,0)</f>
      </c>
      <c r="K331" s="18"/>
      <c r="L331" s="18"/>
      <c r="M331" s="18"/>
      <c r="N331" s="18"/>
      <c r="O331" s="18"/>
      <c r="P331" s="18"/>
      <c r="Q331" s="18"/>
      <c r="R331" s="16" t="s">
        <v>19</v>
      </c>
    </row>
    <row r="332">
      <c r="A332" s="7"/>
      <c r="B332" s="9" t="s">
        <v>1268</v>
      </c>
      <c r="C332" s="9"/>
      <c r="D332" s="9" t="s">
        <v>1269</v>
      </c>
      <c r="E332" s="9" t="s">
        <v>61</v>
      </c>
      <c r="F332" s="9" t="s">
        <v>1270</v>
      </c>
      <c r="G332" s="7"/>
      <c r="H332" s="14"/>
      <c r="I332" s="16" t="str">
        <f>=G332*J332</f>
      </c>
      <c r="J332" s="16" t="str">
        <f>IF(EXACT(K332,"V"),K$5,0)+IF(EXACT(L332,"V"),L$5,0)+IF(EXACT(M332,"V"),M$5,0)+IF(EXACT(N332,"V"),N$5,0)+IF(EXACT(O332,"V"),O$5,0)+IF(EXACT(P332,"V"),P$5,0)+IF(EXACT(Q332,"V"),Q$5,0)</f>
      </c>
      <c r="K332" s="18"/>
      <c r="L332" s="18"/>
      <c r="M332" s="18"/>
      <c r="N332" s="18"/>
      <c r="O332" s="18"/>
      <c r="P332" s="18"/>
      <c r="Q332" s="18"/>
      <c r="R332" s="16" t="s">
        <v>19</v>
      </c>
    </row>
    <row r="333">
      <c r="A333" s="7"/>
      <c r="B333" s="9" t="s">
        <v>1271</v>
      </c>
      <c r="C333" s="9"/>
      <c r="D333" s="9" t="s">
        <v>1272</v>
      </c>
      <c r="E333" s="9" t="s">
        <v>120</v>
      </c>
      <c r="F333" s="9" t="s">
        <v>1273</v>
      </c>
      <c r="G333" s="7"/>
      <c r="H333" s="14"/>
      <c r="I333" s="16" t="str">
        <f>=G333*J333</f>
      </c>
      <c r="J333" s="16" t="str">
        <f>IF(EXACT(K333,"V"),K$5,0)+IF(EXACT(L333,"V"),L$5,0)+IF(EXACT(M333,"V"),M$5,0)+IF(EXACT(N333,"V"),N$5,0)+IF(EXACT(O333,"V"),O$5,0)+IF(EXACT(P333,"V"),P$5,0)+IF(EXACT(Q333,"V"),Q$5,0)</f>
      </c>
      <c r="K333" s="18"/>
      <c r="L333" s="18"/>
      <c r="M333" s="18"/>
      <c r="N333" s="18"/>
      <c r="O333" s="18"/>
      <c r="P333" s="18"/>
      <c r="Q333" s="18"/>
      <c r="R333" s="16" t="s">
        <v>19</v>
      </c>
    </row>
    <row r="334">
      <c r="A334" s="7"/>
      <c r="B334" s="9" t="s">
        <v>1274</v>
      </c>
      <c r="C334" s="9"/>
      <c r="D334" s="9" t="s">
        <v>1275</v>
      </c>
      <c r="E334" s="9" t="s">
        <v>65</v>
      </c>
      <c r="F334" s="9" t="s">
        <v>1276</v>
      </c>
      <c r="G334" s="7"/>
      <c r="H334" s="14"/>
      <c r="I334" s="16" t="str">
        <f>=G334*J334</f>
      </c>
      <c r="J334" s="16" t="str">
        <f>IF(EXACT(K334,"V"),K$5,0)+IF(EXACT(L334,"V"),L$5,0)+IF(EXACT(M334,"V"),M$5,0)+IF(EXACT(N334,"V"),N$5,0)+IF(EXACT(O334,"V"),O$5,0)+IF(EXACT(P334,"V"),P$5,0)+IF(EXACT(Q334,"V"),Q$5,0)</f>
      </c>
      <c r="K334" s="18"/>
      <c r="L334" s="18"/>
      <c r="M334" s="18"/>
      <c r="N334" s="18"/>
      <c r="O334" s="18"/>
      <c r="P334" s="18"/>
      <c r="Q334" s="18"/>
      <c r="R334" s="16" t="s">
        <v>19</v>
      </c>
    </row>
    <row r="335">
      <c r="A335" s="7"/>
      <c r="B335" s="9" t="s">
        <v>1277</v>
      </c>
      <c r="C335" s="9"/>
      <c r="D335" s="9" t="s">
        <v>1278</v>
      </c>
      <c r="E335" s="9" t="s">
        <v>73</v>
      </c>
      <c r="F335" s="9" t="s">
        <v>1279</v>
      </c>
      <c r="G335" s="7"/>
      <c r="H335" s="14"/>
      <c r="I335" s="16" t="str">
        <f>=G335*J335</f>
      </c>
      <c r="J335" s="16" t="str">
        <f>IF(EXACT(K335,"V"),K$5,0)+IF(EXACT(L335,"V"),L$5,0)+IF(EXACT(M335,"V"),M$5,0)+IF(EXACT(N335,"V"),N$5,0)+IF(EXACT(O335,"V"),O$5,0)+IF(EXACT(P335,"V"),P$5,0)+IF(EXACT(Q335,"V"),Q$5,0)</f>
      </c>
      <c r="K335" s="18"/>
      <c r="L335" s="18"/>
      <c r="M335" s="18"/>
      <c r="N335" s="18"/>
      <c r="O335" s="18"/>
      <c r="P335" s="18"/>
      <c r="Q335" s="18"/>
      <c r="R335" s="16" t="s">
        <v>19</v>
      </c>
    </row>
    <row r="336">
      <c r="A336" s="6" t="s">
        <v>1280</v>
      </c>
      <c r="B336" s="8" t="s">
        <v>1281</v>
      </c>
      <c r="C336" s="8"/>
      <c r="D336" s="8" t="s">
        <v>1282</v>
      </c>
      <c r="E336" s="8" t="s">
        <v>126</v>
      </c>
      <c r="F336" s="8" t="s">
        <v>1283</v>
      </c>
      <c r="G336" s="6">
        <v>3</v>
      </c>
      <c r="H336" s="13" t="s">
        <v>1284</v>
      </c>
      <c r="I336" s="15" t="str">
        <f>=G336*J336</f>
      </c>
      <c r="J336" s="15" t="str">
        <f>IF(EXACT(K336,"V"),K$5,0)+IF(EXACT(L336,"V"),L$5,0)+IF(EXACT(M336,"V"),M$5,0)+IF(EXACT(N336,"V"),N$5,0)+IF(EXACT(O336,"V"),O$5,0)+IF(EXACT(P336,"V"),P$5,0)+IF(EXACT(Q336,"V"),Q$5,0)</f>
      </c>
      <c r="K336" s="17"/>
      <c r="L336" s="17"/>
      <c r="M336" s="17"/>
      <c r="N336" s="17"/>
      <c r="O336" s="17"/>
      <c r="P336" s="17"/>
      <c r="Q336" s="17"/>
      <c r="R336" s="15" t="s">
        <v>19</v>
      </c>
    </row>
    <row r="337">
      <c r="A337" s="6"/>
      <c r="B337" s="8" t="s">
        <v>1285</v>
      </c>
      <c r="C337" s="8"/>
      <c r="D337" s="8" t="s">
        <v>1286</v>
      </c>
      <c r="E337" s="8" t="s">
        <v>1287</v>
      </c>
      <c r="F337" s="8" t="s">
        <v>1288</v>
      </c>
      <c r="G337" s="6"/>
      <c r="H337" s="13"/>
      <c r="I337" s="15" t="str">
        <f>=G337*J337</f>
      </c>
      <c r="J337" s="15" t="str">
        <f>IF(EXACT(K337,"V"),K$5,0)+IF(EXACT(L337,"V"),L$5,0)+IF(EXACT(M337,"V"),M$5,0)+IF(EXACT(N337,"V"),N$5,0)+IF(EXACT(O337,"V"),O$5,0)+IF(EXACT(P337,"V"),P$5,0)+IF(EXACT(Q337,"V"),Q$5,0)</f>
      </c>
      <c r="K337" s="17"/>
      <c r="L337" s="17"/>
      <c r="M337" s="17"/>
      <c r="N337" s="17"/>
      <c r="O337" s="17"/>
      <c r="P337" s="17"/>
      <c r="Q337" s="17"/>
      <c r="R337" s="15" t="s">
        <v>19</v>
      </c>
    </row>
    <row r="338">
      <c r="A338" s="6"/>
      <c r="B338" s="8" t="s">
        <v>1289</v>
      </c>
      <c r="C338" s="8"/>
      <c r="D338" s="8" t="s">
        <v>1290</v>
      </c>
      <c r="E338" s="8" t="s">
        <v>775</v>
      </c>
      <c r="F338" s="8" t="s">
        <v>1291</v>
      </c>
      <c r="G338" s="6"/>
      <c r="H338" s="13"/>
      <c r="I338" s="15" t="str">
        <f>=G338*J338</f>
      </c>
      <c r="J338" s="15" t="str">
        <f>IF(EXACT(K338,"V"),K$5,0)+IF(EXACT(L338,"V"),L$5,0)+IF(EXACT(M338,"V"),M$5,0)+IF(EXACT(N338,"V"),N$5,0)+IF(EXACT(O338,"V"),O$5,0)+IF(EXACT(P338,"V"),P$5,0)+IF(EXACT(Q338,"V"),Q$5,0)</f>
      </c>
      <c r="K338" s="17"/>
      <c r="L338" s="17"/>
      <c r="M338" s="17"/>
      <c r="N338" s="17"/>
      <c r="O338" s="17"/>
      <c r="P338" s="17"/>
      <c r="Q338" s="17"/>
      <c r="R338" s="15" t="s">
        <v>19</v>
      </c>
    </row>
    <row r="339">
      <c r="A339" s="6"/>
      <c r="B339" s="8" t="s">
        <v>1292</v>
      </c>
      <c r="C339" s="8"/>
      <c r="D339" s="8" t="s">
        <v>1293</v>
      </c>
      <c r="E339" s="8" t="s">
        <v>403</v>
      </c>
      <c r="F339" s="8" t="s">
        <v>1294</v>
      </c>
      <c r="G339" s="6"/>
      <c r="H339" s="13"/>
      <c r="I339" s="15" t="str">
        <f>=G339*J339</f>
      </c>
      <c r="J339" s="15" t="str">
        <f>IF(EXACT(K339,"V"),K$5,0)+IF(EXACT(L339,"V"),L$5,0)+IF(EXACT(M339,"V"),M$5,0)+IF(EXACT(N339,"V"),N$5,0)+IF(EXACT(O339,"V"),O$5,0)+IF(EXACT(P339,"V"),P$5,0)+IF(EXACT(Q339,"V"),Q$5,0)</f>
      </c>
      <c r="K339" s="17"/>
      <c r="L339" s="17"/>
      <c r="M339" s="17"/>
      <c r="N339" s="17"/>
      <c r="O339" s="17"/>
      <c r="P339" s="17"/>
      <c r="Q339" s="17"/>
      <c r="R339" s="15" t="s">
        <v>19</v>
      </c>
    </row>
    <row r="340">
      <c r="A340" s="6"/>
      <c r="B340" s="8" t="s">
        <v>1295</v>
      </c>
      <c r="C340" s="8"/>
      <c r="D340" s="8" t="s">
        <v>1296</v>
      </c>
      <c r="E340" s="8" t="s">
        <v>1297</v>
      </c>
      <c r="F340" s="8" t="s">
        <v>1298</v>
      </c>
      <c r="G340" s="6"/>
      <c r="H340" s="13"/>
      <c r="I340" s="15" t="str">
        <f>=G340*J340</f>
      </c>
      <c r="J340" s="15" t="str">
        <f>IF(EXACT(K340,"V"),K$5,0)+IF(EXACT(L340,"V"),L$5,0)+IF(EXACT(M340,"V"),M$5,0)+IF(EXACT(N340,"V"),N$5,0)+IF(EXACT(O340,"V"),O$5,0)+IF(EXACT(P340,"V"),P$5,0)+IF(EXACT(Q340,"V"),Q$5,0)</f>
      </c>
      <c r="K340" s="17"/>
      <c r="L340" s="17"/>
      <c r="M340" s="17"/>
      <c r="N340" s="17"/>
      <c r="O340" s="17"/>
      <c r="P340" s="17"/>
      <c r="Q340" s="17"/>
      <c r="R340" s="15" t="s">
        <v>19</v>
      </c>
    </row>
    <row r="341">
      <c r="A341" s="7" t="s">
        <v>1299</v>
      </c>
      <c r="B341" s="9" t="s">
        <v>1300</v>
      </c>
      <c r="C341" s="9"/>
      <c r="D341" s="9" t="s">
        <v>1301</v>
      </c>
      <c r="E341" s="9" t="s">
        <v>593</v>
      </c>
      <c r="F341" s="9" t="s">
        <v>1302</v>
      </c>
      <c r="G341" s="7">
        <v>2</v>
      </c>
      <c r="H341" s="14" t="s">
        <v>1303</v>
      </c>
      <c r="I341" s="16" t="str">
        <f>=G341*J341</f>
      </c>
      <c r="J341" s="16" t="str">
        <f>IF(EXACT(K341,"V"),K$5,0)+IF(EXACT(L341,"V"),L$5,0)+IF(EXACT(M341,"V"),M$5,0)+IF(EXACT(N341,"V"),N$5,0)+IF(EXACT(O341,"V"),O$5,0)+IF(EXACT(P341,"V"),P$5,0)+IF(EXACT(Q341,"V"),Q$5,0)</f>
      </c>
      <c r="K341" s="18"/>
      <c r="L341" s="18"/>
      <c r="M341" s="18"/>
      <c r="N341" s="18"/>
      <c r="O341" s="18"/>
      <c r="P341" s="18"/>
      <c r="Q341" s="18"/>
      <c r="R341" s="16" t="s">
        <v>19</v>
      </c>
    </row>
    <row r="342">
      <c r="A342" s="6" t="s">
        <v>1304</v>
      </c>
      <c r="B342" s="8" t="s">
        <v>1305</v>
      </c>
      <c r="C342" s="8"/>
      <c r="D342" s="8" t="s">
        <v>1306</v>
      </c>
      <c r="E342" s="8" t="s">
        <v>23</v>
      </c>
      <c r="F342" s="8" t="s">
        <v>1307</v>
      </c>
      <c r="G342" s="6">
        <v>7</v>
      </c>
      <c r="H342" s="13" t="s">
        <v>1308</v>
      </c>
      <c r="I342" s="15" t="str">
        <f>=G342*J342</f>
      </c>
      <c r="J342" s="15" t="str">
        <f>IF(EXACT(K342,"V"),K$5,0)+IF(EXACT(L342,"V"),L$5,0)+IF(EXACT(M342,"V"),M$5,0)+IF(EXACT(N342,"V"),N$5,0)+IF(EXACT(O342,"V"),O$5,0)+IF(EXACT(P342,"V"),P$5,0)+IF(EXACT(Q342,"V"),Q$5,0)</f>
      </c>
      <c r="K342" s="17"/>
      <c r="L342" s="17"/>
      <c r="M342" s="17"/>
      <c r="N342" s="17"/>
      <c r="O342" s="17"/>
      <c r="P342" s="17"/>
      <c r="Q342" s="17"/>
      <c r="R342" s="15" t="s">
        <v>19</v>
      </c>
    </row>
    <row r="343">
      <c r="A343" s="6"/>
      <c r="B343" s="8" t="s">
        <v>1309</v>
      </c>
      <c r="C343" s="8"/>
      <c r="D343" s="8" t="s">
        <v>1310</v>
      </c>
      <c r="E343" s="8" t="s">
        <v>57</v>
      </c>
      <c r="F343" s="8" t="s">
        <v>1311</v>
      </c>
      <c r="G343" s="6"/>
      <c r="H343" s="13"/>
      <c r="I343" s="15" t="str">
        <f>=G343*J343</f>
      </c>
      <c r="J343" s="15" t="str">
        <f>IF(EXACT(K343,"V"),K$5,0)+IF(EXACT(L343,"V"),L$5,0)+IF(EXACT(M343,"V"),M$5,0)+IF(EXACT(N343,"V"),N$5,0)+IF(EXACT(O343,"V"),O$5,0)+IF(EXACT(P343,"V"),P$5,0)+IF(EXACT(Q343,"V"),Q$5,0)</f>
      </c>
      <c r="K343" s="17"/>
      <c r="L343" s="17"/>
      <c r="M343" s="17"/>
      <c r="N343" s="17"/>
      <c r="O343" s="17"/>
      <c r="P343" s="17"/>
      <c r="Q343" s="17"/>
      <c r="R343" s="15" t="s">
        <v>19</v>
      </c>
    </row>
    <row r="344">
      <c r="A344" s="6"/>
      <c r="B344" s="8" t="s">
        <v>1312</v>
      </c>
      <c r="C344" s="8"/>
      <c r="D344" s="8" t="s">
        <v>1313</v>
      </c>
      <c r="E344" s="8" t="s">
        <v>65</v>
      </c>
      <c r="F344" s="8" t="s">
        <v>1314</v>
      </c>
      <c r="G344" s="6"/>
      <c r="H344" s="13"/>
      <c r="I344" s="15" t="str">
        <f>=G344*J344</f>
      </c>
      <c r="J344" s="15" t="str">
        <f>IF(EXACT(K344,"V"),K$5,0)+IF(EXACT(L344,"V"),L$5,0)+IF(EXACT(M344,"V"),M$5,0)+IF(EXACT(N344,"V"),N$5,0)+IF(EXACT(O344,"V"),O$5,0)+IF(EXACT(P344,"V"),P$5,0)+IF(EXACT(Q344,"V"),Q$5,0)</f>
      </c>
      <c r="K344" s="17"/>
      <c r="L344" s="17"/>
      <c r="M344" s="17"/>
      <c r="N344" s="17"/>
      <c r="O344" s="17"/>
      <c r="P344" s="17"/>
      <c r="Q344" s="17"/>
      <c r="R344" s="15" t="s">
        <v>19</v>
      </c>
    </row>
    <row r="345">
      <c r="A345" s="6"/>
      <c r="B345" s="8" t="s">
        <v>1315</v>
      </c>
      <c r="C345" s="8"/>
      <c r="D345" s="8" t="s">
        <v>1316</v>
      </c>
      <c r="E345" s="8" t="s">
        <v>69</v>
      </c>
      <c r="F345" s="8" t="s">
        <v>1317</v>
      </c>
      <c r="G345" s="6"/>
      <c r="H345" s="13"/>
      <c r="I345" s="15" t="str">
        <f>=G345*J345</f>
      </c>
      <c r="J345" s="15" t="str">
        <f>IF(EXACT(K345,"V"),K$5,0)+IF(EXACT(L345,"V"),L$5,0)+IF(EXACT(M345,"V"),M$5,0)+IF(EXACT(N345,"V"),N$5,0)+IF(EXACT(O345,"V"),O$5,0)+IF(EXACT(P345,"V"),P$5,0)+IF(EXACT(Q345,"V"),Q$5,0)</f>
      </c>
      <c r="K345" s="17"/>
      <c r="L345" s="17"/>
      <c r="M345" s="17"/>
      <c r="N345" s="17"/>
      <c r="O345" s="17"/>
      <c r="P345" s="17"/>
      <c r="Q345" s="17"/>
      <c r="R345" s="15" t="s">
        <v>19</v>
      </c>
    </row>
    <row r="346">
      <c r="A346" s="6"/>
      <c r="B346" s="8" t="s">
        <v>1318</v>
      </c>
      <c r="C346" s="8"/>
      <c r="D346" s="8" t="s">
        <v>1319</v>
      </c>
      <c r="E346" s="8" t="s">
        <v>73</v>
      </c>
      <c r="F346" s="8" t="s">
        <v>1320</v>
      </c>
      <c r="G346" s="6"/>
      <c r="H346" s="13"/>
      <c r="I346" s="15" t="str">
        <f>=G346*J346</f>
      </c>
      <c r="J346" s="15" t="str">
        <f>IF(EXACT(K346,"V"),K$5,0)+IF(EXACT(L346,"V"),L$5,0)+IF(EXACT(M346,"V"),M$5,0)+IF(EXACT(N346,"V"),N$5,0)+IF(EXACT(O346,"V"),O$5,0)+IF(EXACT(P346,"V"),P$5,0)+IF(EXACT(Q346,"V"),Q$5,0)</f>
      </c>
      <c r="K346" s="17"/>
      <c r="L346" s="17"/>
      <c r="M346" s="17"/>
      <c r="N346" s="17"/>
      <c r="O346" s="17"/>
      <c r="P346" s="17"/>
      <c r="Q346" s="17"/>
      <c r="R346" s="15" t="s">
        <v>19</v>
      </c>
    </row>
    <row r="347">
      <c r="A347" s="7" t="s">
        <v>1321</v>
      </c>
      <c r="B347" s="9" t="s">
        <v>1322</v>
      </c>
      <c r="C347" s="9"/>
      <c r="D347" s="9" t="s">
        <v>1323</v>
      </c>
      <c r="E347" s="9" t="s">
        <v>126</v>
      </c>
      <c r="F347" s="9" t="s">
        <v>1324</v>
      </c>
      <c r="G347" s="7">
        <v>1</v>
      </c>
      <c r="H347" s="14" t="s">
        <v>1325</v>
      </c>
      <c r="I347" s="16" t="str">
        <f>=G347*J347</f>
      </c>
      <c r="J347" s="16" t="str">
        <f>IF(EXACT(K347,"V"),K$5,0)+IF(EXACT(L347,"V"),L$5,0)+IF(EXACT(M347,"V"),M$5,0)+IF(EXACT(N347,"V"),N$5,0)+IF(EXACT(O347,"V"),O$5,0)+IF(EXACT(P347,"V"),P$5,0)+IF(EXACT(Q347,"V"),Q$5,0)</f>
      </c>
      <c r="K347" s="18"/>
      <c r="L347" s="18"/>
      <c r="M347" s="18"/>
      <c r="N347" s="18"/>
      <c r="O347" s="18"/>
      <c r="P347" s="18"/>
      <c r="Q347" s="18"/>
      <c r="R347" s="16" t="s">
        <v>19</v>
      </c>
    </row>
    <row r="348">
      <c r="A348" s="7"/>
      <c r="B348" s="9" t="s">
        <v>1326</v>
      </c>
      <c r="C348" s="9"/>
      <c r="D348" s="9" t="s">
        <v>1327</v>
      </c>
      <c r="E348" s="9" t="s">
        <v>689</v>
      </c>
      <c r="F348" s="9" t="s">
        <v>1328</v>
      </c>
      <c r="G348" s="7"/>
      <c r="H348" s="14"/>
      <c r="I348" s="16" t="str">
        <f>=G348*J348</f>
      </c>
      <c r="J348" s="16" t="str">
        <f>IF(EXACT(K348,"V"),K$5,0)+IF(EXACT(L348,"V"),L$5,0)+IF(EXACT(M348,"V"),M$5,0)+IF(EXACT(N348,"V"),N$5,0)+IF(EXACT(O348,"V"),O$5,0)+IF(EXACT(P348,"V"),P$5,0)+IF(EXACT(Q348,"V"),Q$5,0)</f>
      </c>
      <c r="K348" s="18"/>
      <c r="L348" s="18"/>
      <c r="M348" s="18"/>
      <c r="N348" s="18"/>
      <c r="O348" s="18"/>
      <c r="P348" s="18"/>
      <c r="Q348" s="18"/>
      <c r="R348" s="16" t="s">
        <v>19</v>
      </c>
    </row>
    <row r="349">
      <c r="A349" s="7"/>
      <c r="B349" s="9" t="s">
        <v>1329</v>
      </c>
      <c r="C349" s="9"/>
      <c r="D349" s="9" t="s">
        <v>1330</v>
      </c>
      <c r="E349" s="9" t="s">
        <v>1095</v>
      </c>
      <c r="F349" s="9" t="s">
        <v>1331</v>
      </c>
      <c r="G349" s="7"/>
      <c r="H349" s="14"/>
      <c r="I349" s="16" t="str">
        <f>=G349*J349</f>
      </c>
      <c r="J349" s="16" t="str">
        <f>IF(EXACT(K349,"V"),K$5,0)+IF(EXACT(L349,"V"),L$5,0)+IF(EXACT(M349,"V"),M$5,0)+IF(EXACT(N349,"V"),N$5,0)+IF(EXACT(O349,"V"),O$5,0)+IF(EXACT(P349,"V"),P$5,0)+IF(EXACT(Q349,"V"),Q$5,0)</f>
      </c>
      <c r="K349" s="18"/>
      <c r="L349" s="18"/>
      <c r="M349" s="18"/>
      <c r="N349" s="18"/>
      <c r="O349" s="18"/>
      <c r="P349" s="18"/>
      <c r="Q349" s="18"/>
      <c r="R349" s="16" t="s">
        <v>19</v>
      </c>
    </row>
    <row r="350">
      <c r="A350" s="7"/>
      <c r="B350" s="9" t="s">
        <v>1332</v>
      </c>
      <c r="C350" s="9"/>
      <c r="D350" s="9" t="s">
        <v>1333</v>
      </c>
      <c r="E350" s="9" t="s">
        <v>693</v>
      </c>
      <c r="F350" s="9" t="s">
        <v>1334</v>
      </c>
      <c r="G350" s="7"/>
      <c r="H350" s="14"/>
      <c r="I350" s="16" t="str">
        <f>=G350*J350</f>
      </c>
      <c r="J350" s="16" t="str">
        <f>IF(EXACT(K350,"V"),K$5,0)+IF(EXACT(L350,"V"),L$5,0)+IF(EXACT(M350,"V"),M$5,0)+IF(EXACT(N350,"V"),N$5,0)+IF(EXACT(O350,"V"),O$5,0)+IF(EXACT(P350,"V"),P$5,0)+IF(EXACT(Q350,"V"),Q$5,0)</f>
      </c>
      <c r="K350" s="18"/>
      <c r="L350" s="18"/>
      <c r="M350" s="18"/>
      <c r="N350" s="18"/>
      <c r="O350" s="18"/>
      <c r="P350" s="18"/>
      <c r="Q350" s="18"/>
      <c r="R350" s="16" t="s">
        <v>19</v>
      </c>
    </row>
    <row r="351">
      <c r="A351" s="7"/>
      <c r="B351" s="9" t="s">
        <v>1335</v>
      </c>
      <c r="C351" s="9"/>
      <c r="D351" s="9" t="s">
        <v>1336</v>
      </c>
      <c r="E351" s="9" t="s">
        <v>697</v>
      </c>
      <c r="F351" s="9" t="s">
        <v>1337</v>
      </c>
      <c r="G351" s="7"/>
      <c r="H351" s="14"/>
      <c r="I351" s="16" t="str">
        <f>=G351*J351</f>
      </c>
      <c r="J351" s="16" t="str">
        <f>IF(EXACT(K351,"V"),K$5,0)+IF(EXACT(L351,"V"),L$5,0)+IF(EXACT(M351,"V"),M$5,0)+IF(EXACT(N351,"V"),N$5,0)+IF(EXACT(O351,"V"),O$5,0)+IF(EXACT(P351,"V"),P$5,0)+IF(EXACT(Q351,"V"),Q$5,0)</f>
      </c>
      <c r="K351" s="18"/>
      <c r="L351" s="18"/>
      <c r="M351" s="18"/>
      <c r="N351" s="18"/>
      <c r="O351" s="18"/>
      <c r="P351" s="18"/>
      <c r="Q351" s="18"/>
      <c r="R351" s="16" t="s">
        <v>19</v>
      </c>
    </row>
    <row r="352">
      <c r="A352" s="7"/>
      <c r="B352" s="9" t="s">
        <v>1338</v>
      </c>
      <c r="C352" s="9"/>
      <c r="D352" s="9" t="s">
        <v>1339</v>
      </c>
      <c r="E352" s="9" t="s">
        <v>701</v>
      </c>
      <c r="F352" s="9" t="s">
        <v>1340</v>
      </c>
      <c r="G352" s="7"/>
      <c r="H352" s="14"/>
      <c r="I352" s="16" t="str">
        <f>=G352*J352</f>
      </c>
      <c r="J352" s="16" t="str">
        <f>IF(EXACT(K352,"V"),K$5,0)+IF(EXACT(L352,"V"),L$5,0)+IF(EXACT(M352,"V"),M$5,0)+IF(EXACT(N352,"V"),N$5,0)+IF(EXACT(O352,"V"),O$5,0)+IF(EXACT(P352,"V"),P$5,0)+IF(EXACT(Q352,"V"),Q$5,0)</f>
      </c>
      <c r="K352" s="18"/>
      <c r="L352" s="18"/>
      <c r="M352" s="18"/>
      <c r="N352" s="18"/>
      <c r="O352" s="18"/>
      <c r="P352" s="18"/>
      <c r="Q352" s="18"/>
      <c r="R352" s="16" t="s">
        <v>19</v>
      </c>
    </row>
    <row r="353">
      <c r="A353" s="6" t="s">
        <v>1341</v>
      </c>
      <c r="B353" s="8" t="s">
        <v>1342</v>
      </c>
      <c r="C353" s="8"/>
      <c r="D353" s="8" t="s">
        <v>1343</v>
      </c>
      <c r="E353" s="8" t="s">
        <v>473</v>
      </c>
      <c r="F353" s="8" t="s">
        <v>1344</v>
      </c>
      <c r="G353" s="6">
        <v>2</v>
      </c>
      <c r="H353" s="13" t="s">
        <v>1345</v>
      </c>
      <c r="I353" s="15" t="str">
        <f>=G353*J353</f>
      </c>
      <c r="J353" s="15" t="str">
        <f>IF(EXACT(K353,"V"),K$5,0)+IF(EXACT(L353,"V"),L$5,0)+IF(EXACT(M353,"V"),M$5,0)+IF(EXACT(N353,"V"),N$5,0)+IF(EXACT(O353,"V"),O$5,0)+IF(EXACT(P353,"V"),P$5,0)+IF(EXACT(Q353,"V"),Q$5,0)</f>
      </c>
      <c r="K353" s="17"/>
      <c r="L353" s="17"/>
      <c r="M353" s="17"/>
      <c r="N353" s="17"/>
      <c r="O353" s="17"/>
      <c r="P353" s="17"/>
      <c r="Q353" s="17"/>
      <c r="R353" s="15" t="s">
        <v>1346</v>
      </c>
    </row>
    <row r="354">
      <c r="A354" s="6"/>
      <c r="B354" s="8" t="s">
        <v>1347</v>
      </c>
      <c r="C354" s="8"/>
      <c r="D354" s="8" t="s">
        <v>1343</v>
      </c>
      <c r="E354" s="8" t="s">
        <v>478</v>
      </c>
      <c r="F354" s="8" t="s">
        <v>1348</v>
      </c>
      <c r="G354" s="6"/>
      <c r="H354" s="13"/>
      <c r="I354" s="15" t="str">
        <f>=G354*J354</f>
      </c>
      <c r="J354" s="15" t="str">
        <f>IF(EXACT(K354,"V"),K$5,0)+IF(EXACT(L354,"V"),L$5,0)+IF(EXACT(M354,"V"),M$5,0)+IF(EXACT(N354,"V"),N$5,0)+IF(EXACT(O354,"V"),O$5,0)+IF(EXACT(P354,"V"),P$5,0)+IF(EXACT(Q354,"V"),Q$5,0)</f>
      </c>
      <c r="K354" s="17"/>
      <c r="L354" s="17"/>
      <c r="M354" s="17"/>
      <c r="N354" s="17"/>
      <c r="O354" s="17"/>
      <c r="P354" s="17"/>
      <c r="Q354" s="17"/>
      <c r="R354" s="15" t="s">
        <v>1349</v>
      </c>
    </row>
    <row r="355">
      <c r="A355" s="6"/>
      <c r="B355" s="8" t="s">
        <v>1350</v>
      </c>
      <c r="C355" s="8"/>
      <c r="D355" s="8" t="s">
        <v>1351</v>
      </c>
      <c r="E355" s="8" t="s">
        <v>482</v>
      </c>
      <c r="F355" s="8" t="s">
        <v>1352</v>
      </c>
      <c r="G355" s="6"/>
      <c r="H355" s="13"/>
      <c r="I355" s="15" t="str">
        <f>=G355*J355</f>
      </c>
      <c r="J355" s="15" t="str">
        <f>IF(EXACT(K355,"V"),K$5,0)+IF(EXACT(L355,"V"),L$5,0)+IF(EXACT(M355,"V"),M$5,0)+IF(EXACT(N355,"V"),N$5,0)+IF(EXACT(O355,"V"),O$5,0)+IF(EXACT(P355,"V"),P$5,0)+IF(EXACT(Q355,"V"),Q$5,0)</f>
      </c>
      <c r="K355" s="17"/>
      <c r="L355" s="17"/>
      <c r="M355" s="17"/>
      <c r="N355" s="17"/>
      <c r="O355" s="17"/>
      <c r="P355" s="17"/>
      <c r="Q355" s="17"/>
      <c r="R355" s="15" t="s">
        <v>1353</v>
      </c>
    </row>
    <row r="356">
      <c r="A356" s="7" t="s">
        <v>1354</v>
      </c>
      <c r="B356" s="9" t="s">
        <v>1355</v>
      </c>
      <c r="C356" s="9"/>
      <c r="D356" s="9" t="s">
        <v>1356</v>
      </c>
      <c r="E356" s="9" t="s">
        <v>473</v>
      </c>
      <c r="F356" s="9" t="s">
        <v>1357</v>
      </c>
      <c r="G356" s="7">
        <v>2</v>
      </c>
      <c r="H356" s="14" t="s">
        <v>1358</v>
      </c>
      <c r="I356" s="16" t="str">
        <f>=G356*J356</f>
      </c>
      <c r="J356" s="16" t="str">
        <f>IF(EXACT(K356,"V"),K$5,0)+IF(EXACT(L356,"V"),L$5,0)+IF(EXACT(M356,"V"),M$5,0)+IF(EXACT(N356,"V"),N$5,0)+IF(EXACT(O356,"V"),O$5,0)+IF(EXACT(P356,"V"),P$5,0)+IF(EXACT(Q356,"V"),Q$5,0)</f>
      </c>
      <c r="K356" s="18"/>
      <c r="L356" s="18"/>
      <c r="M356" s="18"/>
      <c r="N356" s="18"/>
      <c r="O356" s="18"/>
      <c r="P356" s="18"/>
      <c r="Q356" s="18"/>
      <c r="R356" s="16" t="s">
        <v>1359</v>
      </c>
    </row>
    <row r="357">
      <c r="A357" s="7"/>
      <c r="B357" s="9" t="s">
        <v>1360</v>
      </c>
      <c r="C357" s="9"/>
      <c r="D357" s="9" t="s">
        <v>1356</v>
      </c>
      <c r="E357" s="9" t="s">
        <v>478</v>
      </c>
      <c r="F357" s="9" t="s">
        <v>1361</v>
      </c>
      <c r="G357" s="7"/>
      <c r="H357" s="14"/>
      <c r="I357" s="16" t="str">
        <f>=G357*J357</f>
      </c>
      <c r="J357" s="16" t="str">
        <f>IF(EXACT(K357,"V"),K$5,0)+IF(EXACT(L357,"V"),L$5,0)+IF(EXACT(M357,"V"),M$5,0)+IF(EXACT(N357,"V"),N$5,0)+IF(EXACT(O357,"V"),O$5,0)+IF(EXACT(P357,"V"),P$5,0)+IF(EXACT(Q357,"V"),Q$5,0)</f>
      </c>
      <c r="K357" s="18"/>
      <c r="L357" s="18"/>
      <c r="M357" s="18"/>
      <c r="N357" s="18"/>
      <c r="O357" s="18"/>
      <c r="P357" s="18"/>
      <c r="Q357" s="18"/>
      <c r="R357" s="16" t="s">
        <v>1362</v>
      </c>
    </row>
    <row r="358">
      <c r="A358" s="7"/>
      <c r="B358" s="9" t="s">
        <v>1363</v>
      </c>
      <c r="C358" s="9"/>
      <c r="D358" s="9" t="s">
        <v>1364</v>
      </c>
      <c r="E358" s="9" t="s">
        <v>482</v>
      </c>
      <c r="F358" s="9" t="s">
        <v>1365</v>
      </c>
      <c r="G358" s="7"/>
      <c r="H358" s="14"/>
      <c r="I358" s="16" t="str">
        <f>=G358*J358</f>
      </c>
      <c r="J358" s="16" t="str">
        <f>IF(EXACT(K358,"V"),K$5,0)+IF(EXACT(L358,"V"),L$5,0)+IF(EXACT(M358,"V"),M$5,0)+IF(EXACT(N358,"V"),N$5,0)+IF(EXACT(O358,"V"),O$5,0)+IF(EXACT(P358,"V"),P$5,0)+IF(EXACT(Q358,"V"),Q$5,0)</f>
      </c>
      <c r="K358" s="18"/>
      <c r="L358" s="18"/>
      <c r="M358" s="18"/>
      <c r="N358" s="18"/>
      <c r="O358" s="18"/>
      <c r="P358" s="18"/>
      <c r="Q358" s="18"/>
      <c r="R358" s="16" t="s">
        <v>1353</v>
      </c>
    </row>
    <row r="359">
      <c r="A359" s="6" t="s">
        <v>1366</v>
      </c>
      <c r="B359" s="8" t="s">
        <v>1367</v>
      </c>
      <c r="C359" s="8"/>
      <c r="D359" s="8" t="s">
        <v>1368</v>
      </c>
      <c r="E359" s="8" t="s">
        <v>185</v>
      </c>
      <c r="F359" s="8" t="s">
        <v>1369</v>
      </c>
      <c r="G359" s="6">
        <v>2</v>
      </c>
      <c r="H359" s="13" t="s">
        <v>1370</v>
      </c>
      <c r="I359" s="15" t="str">
        <f>=G359*J359</f>
      </c>
      <c r="J359" s="15" t="str">
        <f>IF(EXACT(K359,"V"),K$5,0)+IF(EXACT(L359,"V"),L$5,0)+IF(EXACT(M359,"V"),M$5,0)+IF(EXACT(N359,"V"),N$5,0)+IF(EXACT(O359,"V"),O$5,0)+IF(EXACT(P359,"V"),P$5,0)+IF(EXACT(Q359,"V"),Q$5,0)</f>
      </c>
      <c r="K359" s="17"/>
      <c r="L359" s="17"/>
      <c r="M359" s="17"/>
      <c r="N359" s="17"/>
      <c r="O359" s="17"/>
      <c r="P359" s="17"/>
      <c r="Q359" s="17"/>
      <c r="R359" s="15" t="s">
        <v>19</v>
      </c>
    </row>
    <row r="360">
      <c r="A360" s="6"/>
      <c r="B360" s="8" t="s">
        <v>1371</v>
      </c>
      <c r="C360" s="8"/>
      <c r="D360" s="8" t="s">
        <v>1372</v>
      </c>
      <c r="E360" s="8" t="s">
        <v>1006</v>
      </c>
      <c r="F360" s="8" t="s">
        <v>1373</v>
      </c>
      <c r="G360" s="6"/>
      <c r="H360" s="13"/>
      <c r="I360" s="15" t="str">
        <f>=G360*J360</f>
      </c>
      <c r="J360" s="15" t="str">
        <f>IF(EXACT(K360,"V"),K$5,0)+IF(EXACT(L360,"V"),L$5,0)+IF(EXACT(M360,"V"),M$5,0)+IF(EXACT(N360,"V"),N$5,0)+IF(EXACT(O360,"V"),O$5,0)+IF(EXACT(P360,"V"),P$5,0)+IF(EXACT(Q360,"V"),Q$5,0)</f>
      </c>
      <c r="K360" s="17"/>
      <c r="L360" s="17"/>
      <c r="M360" s="17"/>
      <c r="N360" s="17"/>
      <c r="O360" s="17"/>
      <c r="P360" s="17"/>
      <c r="Q360" s="17"/>
      <c r="R360" s="15" t="s">
        <v>19</v>
      </c>
    </row>
    <row r="361">
      <c r="A361" s="6"/>
      <c r="B361" s="8" t="s">
        <v>1374</v>
      </c>
      <c r="C361" s="8"/>
      <c r="D361" s="8" t="s">
        <v>1375</v>
      </c>
      <c r="E361" s="8" t="s">
        <v>1297</v>
      </c>
      <c r="F361" s="8" t="s">
        <v>1376</v>
      </c>
      <c r="G361" s="6"/>
      <c r="H361" s="13"/>
      <c r="I361" s="15" t="str">
        <f>=G361*J361</f>
      </c>
      <c r="J361" s="15" t="str">
        <f>IF(EXACT(K361,"V"),K$5,0)+IF(EXACT(L361,"V"),L$5,0)+IF(EXACT(M361,"V"),M$5,0)+IF(EXACT(N361,"V"),N$5,0)+IF(EXACT(O361,"V"),O$5,0)+IF(EXACT(P361,"V"),P$5,0)+IF(EXACT(Q361,"V"),Q$5,0)</f>
      </c>
      <c r="K361" s="17"/>
      <c r="L361" s="17"/>
      <c r="M361" s="17"/>
      <c r="N361" s="17"/>
      <c r="O361" s="17"/>
      <c r="P361" s="17"/>
      <c r="Q361" s="17"/>
      <c r="R361" s="15" t="s">
        <v>19</v>
      </c>
    </row>
    <row r="362">
      <c r="A362" s="7" t="s">
        <v>1377</v>
      </c>
      <c r="B362" s="9" t="s">
        <v>1378</v>
      </c>
      <c r="C362" s="9"/>
      <c r="D362" s="9" t="s">
        <v>1379</v>
      </c>
      <c r="E362" s="9" t="s">
        <v>473</v>
      </c>
      <c r="F362" s="9" t="s">
        <v>1380</v>
      </c>
      <c r="G362" s="7">
        <v>1</v>
      </c>
      <c r="H362" s="14" t="s">
        <v>1381</v>
      </c>
      <c r="I362" s="16" t="str">
        <f>=G362*J362</f>
      </c>
      <c r="J362" s="16" t="str">
        <f>IF(EXACT(K362,"V"),K$5,0)+IF(EXACT(L362,"V"),L$5,0)+IF(EXACT(M362,"V"),M$5,0)+IF(EXACT(N362,"V"),N$5,0)+IF(EXACT(O362,"V"),O$5,0)+IF(EXACT(P362,"V"),P$5,0)+IF(EXACT(Q362,"V"),Q$5,0)</f>
      </c>
      <c r="K362" s="18"/>
      <c r="L362" s="18"/>
      <c r="M362" s="18"/>
      <c r="N362" s="18"/>
      <c r="O362" s="18"/>
      <c r="P362" s="18"/>
      <c r="Q362" s="18"/>
      <c r="R362" s="16" t="s">
        <v>288</v>
      </c>
    </row>
    <row r="363">
      <c r="A363" s="7"/>
      <c r="B363" s="9" t="s">
        <v>1382</v>
      </c>
      <c r="C363" s="9"/>
      <c r="D363" s="9" t="s">
        <v>1379</v>
      </c>
      <c r="E363" s="9" t="s">
        <v>478</v>
      </c>
      <c r="F363" s="9" t="s">
        <v>1383</v>
      </c>
      <c r="G363" s="7"/>
      <c r="H363" s="14"/>
      <c r="I363" s="16" t="str">
        <f>=G363*J363</f>
      </c>
      <c r="J363" s="16" t="str">
        <f>IF(EXACT(K363,"V"),K$5,0)+IF(EXACT(L363,"V"),L$5,0)+IF(EXACT(M363,"V"),M$5,0)+IF(EXACT(N363,"V"),N$5,0)+IF(EXACT(O363,"V"),O$5,0)+IF(EXACT(P363,"V"),P$5,0)+IF(EXACT(Q363,"V"),Q$5,0)</f>
      </c>
      <c r="K363" s="18"/>
      <c r="L363" s="18"/>
      <c r="M363" s="18"/>
      <c r="N363" s="18"/>
      <c r="O363" s="18"/>
      <c r="P363" s="18"/>
      <c r="Q363" s="18"/>
      <c r="R363" s="16" t="s">
        <v>288</v>
      </c>
    </row>
    <row r="364">
      <c r="A364" s="7"/>
      <c r="B364" s="9" t="s">
        <v>1384</v>
      </c>
      <c r="C364" s="9"/>
      <c r="D364" s="9" t="s">
        <v>1379</v>
      </c>
      <c r="E364" s="9" t="s">
        <v>482</v>
      </c>
      <c r="F364" s="9" t="s">
        <v>1385</v>
      </c>
      <c r="G364" s="7"/>
      <c r="H364" s="14"/>
      <c r="I364" s="16" t="str">
        <f>=G364*J364</f>
      </c>
      <c r="J364" s="16" t="str">
        <f>IF(EXACT(K364,"V"),K$5,0)+IF(EXACT(L364,"V"),L$5,0)+IF(EXACT(M364,"V"),M$5,0)+IF(EXACT(N364,"V"),N$5,0)+IF(EXACT(O364,"V"),O$5,0)+IF(EXACT(P364,"V"),P$5,0)+IF(EXACT(Q364,"V"),Q$5,0)</f>
      </c>
      <c r="K364" s="18"/>
      <c r="L364" s="18"/>
      <c r="M364" s="18"/>
      <c r="N364" s="18"/>
      <c r="O364" s="18"/>
      <c r="P364" s="18"/>
      <c r="Q364" s="18"/>
      <c r="R364" s="16" t="s">
        <v>295</v>
      </c>
    </row>
    <row r="365">
      <c r="A365" s="6" t="s">
        <v>1386</v>
      </c>
      <c r="B365" s="8" t="s">
        <v>1387</v>
      </c>
      <c r="C365" s="8"/>
      <c r="D365" s="8" t="s">
        <v>1388</v>
      </c>
      <c r="E365" s="8" t="s">
        <v>292</v>
      </c>
      <c r="F365" s="8" t="s">
        <v>1389</v>
      </c>
      <c r="G365" s="6">
        <v>2</v>
      </c>
      <c r="H365" s="13" t="s">
        <v>1390</v>
      </c>
      <c r="I365" s="15" t="str">
        <f>=G365*J365</f>
      </c>
      <c r="J365" s="15" t="str">
        <f>IF(EXACT(K365,"V"),K$5,0)+IF(EXACT(L365,"V"),L$5,0)+IF(EXACT(M365,"V"),M$5,0)+IF(EXACT(N365,"V"),N$5,0)+IF(EXACT(O365,"V"),O$5,0)+IF(EXACT(P365,"V"),P$5,0)+IF(EXACT(Q365,"V"),Q$5,0)</f>
      </c>
      <c r="K365" s="17"/>
      <c r="L365" s="17"/>
      <c r="M365" s="17"/>
      <c r="N365" s="17"/>
      <c r="O365" s="17"/>
      <c r="P365" s="17"/>
      <c r="Q365" s="17"/>
      <c r="R365" s="15" t="s">
        <v>1391</v>
      </c>
    </row>
    <row r="366">
      <c r="A366" s="7" t="s">
        <v>1392</v>
      </c>
      <c r="B366" s="9" t="s">
        <v>1393</v>
      </c>
      <c r="C366" s="9"/>
      <c r="D366" s="9" t="s">
        <v>1394</v>
      </c>
      <c r="E366" s="9" t="s">
        <v>126</v>
      </c>
      <c r="F366" s="9" t="s">
        <v>1395</v>
      </c>
      <c r="G366" s="7">
        <v>1</v>
      </c>
      <c r="H366" s="14" t="s">
        <v>1396</v>
      </c>
      <c r="I366" s="16" t="str">
        <f>=G366*J366</f>
      </c>
      <c r="J366" s="16" t="str">
        <f>IF(EXACT(K366,"V"),K$5,0)+IF(EXACT(L366,"V"),L$5,0)+IF(EXACT(M366,"V"),M$5,0)+IF(EXACT(N366,"V"),N$5,0)+IF(EXACT(O366,"V"),O$5,0)+IF(EXACT(P366,"V"),P$5,0)+IF(EXACT(Q366,"V"),Q$5,0)</f>
      </c>
      <c r="K366" s="18"/>
      <c r="L366" s="18"/>
      <c r="M366" s="18"/>
      <c r="N366" s="18"/>
      <c r="O366" s="18"/>
      <c r="P366" s="18"/>
      <c r="Q366" s="18"/>
      <c r="R366" s="16" t="s">
        <v>19</v>
      </c>
    </row>
    <row r="367">
      <c r="A367" s="7"/>
      <c r="B367" s="9" t="s">
        <v>1397</v>
      </c>
      <c r="C367" s="9"/>
      <c r="D367" s="9" t="s">
        <v>1398</v>
      </c>
      <c r="E367" s="9" t="s">
        <v>1227</v>
      </c>
      <c r="F367" s="9" t="s">
        <v>1399</v>
      </c>
      <c r="G367" s="7"/>
      <c r="H367" s="14"/>
      <c r="I367" s="16" t="str">
        <f>=G367*J367</f>
      </c>
      <c r="J367" s="16" t="str">
        <f>IF(EXACT(K367,"V"),K$5,0)+IF(EXACT(L367,"V"),L$5,0)+IF(EXACT(M367,"V"),M$5,0)+IF(EXACT(N367,"V"),N$5,0)+IF(EXACT(O367,"V"),O$5,0)+IF(EXACT(P367,"V"),P$5,0)+IF(EXACT(Q367,"V"),Q$5,0)</f>
      </c>
      <c r="K367" s="18"/>
      <c r="L367" s="18"/>
      <c r="M367" s="18"/>
      <c r="N367" s="18"/>
      <c r="O367" s="18"/>
      <c r="P367" s="18"/>
      <c r="Q367" s="18"/>
      <c r="R367" s="16" t="s">
        <v>19</v>
      </c>
    </row>
    <row r="368">
      <c r="A368" s="7"/>
      <c r="B368" s="9" t="s">
        <v>1400</v>
      </c>
      <c r="C368" s="9"/>
      <c r="D368" s="9" t="s">
        <v>1401</v>
      </c>
      <c r="E368" s="9" t="s">
        <v>403</v>
      </c>
      <c r="F368" s="9" t="s">
        <v>1402</v>
      </c>
      <c r="G368" s="7"/>
      <c r="H368" s="14"/>
      <c r="I368" s="16" t="str">
        <f>=G368*J368</f>
      </c>
      <c r="J368" s="16" t="str">
        <f>IF(EXACT(K368,"V"),K$5,0)+IF(EXACT(L368,"V"),L$5,0)+IF(EXACT(M368,"V"),M$5,0)+IF(EXACT(N368,"V"),N$5,0)+IF(EXACT(O368,"V"),O$5,0)+IF(EXACT(P368,"V"),P$5,0)+IF(EXACT(Q368,"V"),Q$5,0)</f>
      </c>
      <c r="K368" s="18"/>
      <c r="L368" s="18"/>
      <c r="M368" s="18"/>
      <c r="N368" s="18"/>
      <c r="O368" s="18"/>
      <c r="P368" s="18"/>
      <c r="Q368" s="18"/>
      <c r="R368" s="16" t="s">
        <v>19</v>
      </c>
    </row>
    <row r="369">
      <c r="A369" s="6" t="s">
        <v>1403</v>
      </c>
      <c r="B369" s="8" t="s">
        <v>1404</v>
      </c>
      <c r="C369" s="8"/>
      <c r="D369" s="8" t="s">
        <v>1405</v>
      </c>
      <c r="E369" s="8" t="s">
        <v>1095</v>
      </c>
      <c r="F369" s="8" t="s">
        <v>1406</v>
      </c>
      <c r="G369" s="6">
        <v>1</v>
      </c>
      <c r="H369" s="13" t="s">
        <v>1407</v>
      </c>
      <c r="I369" s="15" t="str">
        <f>=G369*J369</f>
      </c>
      <c r="J369" s="15" t="str">
        <f>IF(EXACT(K369,"V"),K$5,0)+IF(EXACT(L369,"V"),L$5,0)+IF(EXACT(M369,"V"),M$5,0)+IF(EXACT(N369,"V"),N$5,0)+IF(EXACT(O369,"V"),O$5,0)+IF(EXACT(P369,"V"),P$5,0)+IF(EXACT(Q369,"V"),Q$5,0)</f>
      </c>
      <c r="K369" s="17"/>
      <c r="L369" s="17"/>
      <c r="M369" s="17"/>
      <c r="N369" s="17"/>
      <c r="O369" s="17"/>
      <c r="P369" s="17"/>
      <c r="Q369" s="17"/>
      <c r="R369" s="15" t="s">
        <v>19</v>
      </c>
    </row>
    <row r="370">
      <c r="A370" s="6"/>
      <c r="B370" s="8" t="s">
        <v>1408</v>
      </c>
      <c r="C370" s="8"/>
      <c r="D370" s="8" t="s">
        <v>1409</v>
      </c>
      <c r="E370" s="8" t="s">
        <v>689</v>
      </c>
      <c r="F370" s="8" t="s">
        <v>1410</v>
      </c>
      <c r="G370" s="6"/>
      <c r="H370" s="13"/>
      <c r="I370" s="15" t="str">
        <f>=G370*J370</f>
      </c>
      <c r="J370" s="15" t="str">
        <f>IF(EXACT(K370,"V"),K$5,0)+IF(EXACT(L370,"V"),L$5,0)+IF(EXACT(M370,"V"),M$5,0)+IF(EXACT(N370,"V"),N$5,0)+IF(EXACT(O370,"V"),O$5,0)+IF(EXACT(P370,"V"),P$5,0)+IF(EXACT(Q370,"V"),Q$5,0)</f>
      </c>
      <c r="K370" s="17"/>
      <c r="L370" s="17"/>
      <c r="M370" s="17"/>
      <c r="N370" s="17"/>
      <c r="O370" s="17"/>
      <c r="P370" s="17"/>
      <c r="Q370" s="17"/>
      <c r="R370" s="15" t="s">
        <v>19</v>
      </c>
    </row>
    <row r="371">
      <c r="A371" s="6"/>
      <c r="B371" s="8" t="s">
        <v>1411</v>
      </c>
      <c r="C371" s="8"/>
      <c r="D371" s="8" t="s">
        <v>1412</v>
      </c>
      <c r="E371" s="8" t="s">
        <v>126</v>
      </c>
      <c r="F371" s="8" t="s">
        <v>1413</v>
      </c>
      <c r="G371" s="6"/>
      <c r="H371" s="13"/>
      <c r="I371" s="15" t="str">
        <f>=G371*J371</f>
      </c>
      <c r="J371" s="15" t="str">
        <f>IF(EXACT(K371,"V"),K$5,0)+IF(EXACT(L371,"V"),L$5,0)+IF(EXACT(M371,"V"),M$5,0)+IF(EXACT(N371,"V"),N$5,0)+IF(EXACT(O371,"V"),O$5,0)+IF(EXACT(P371,"V"),P$5,0)+IF(EXACT(Q371,"V"),Q$5,0)</f>
      </c>
      <c r="K371" s="17"/>
      <c r="L371" s="17"/>
      <c r="M371" s="17"/>
      <c r="N371" s="17"/>
      <c r="O371" s="17"/>
      <c r="P371" s="17"/>
      <c r="Q371" s="17"/>
      <c r="R371" s="15" t="s">
        <v>19</v>
      </c>
    </row>
    <row r="372">
      <c r="A372" s="6"/>
      <c r="B372" s="8" t="s">
        <v>1414</v>
      </c>
      <c r="C372" s="8"/>
      <c r="D372" s="8" t="s">
        <v>1415</v>
      </c>
      <c r="E372" s="8" t="s">
        <v>693</v>
      </c>
      <c r="F372" s="8" t="s">
        <v>1416</v>
      </c>
      <c r="G372" s="6"/>
      <c r="H372" s="13"/>
      <c r="I372" s="15" t="str">
        <f>=G372*J372</f>
      </c>
      <c r="J372" s="15" t="str">
        <f>IF(EXACT(K372,"V"),K$5,0)+IF(EXACT(L372,"V"),L$5,0)+IF(EXACT(M372,"V"),M$5,0)+IF(EXACT(N372,"V"),N$5,0)+IF(EXACT(O372,"V"),O$5,0)+IF(EXACT(P372,"V"),P$5,0)+IF(EXACT(Q372,"V"),Q$5,0)</f>
      </c>
      <c r="K372" s="17"/>
      <c r="L372" s="17"/>
      <c r="M372" s="17"/>
      <c r="N372" s="17"/>
      <c r="O372" s="17"/>
      <c r="P372" s="17"/>
      <c r="Q372" s="17"/>
      <c r="R372" s="15" t="s">
        <v>19</v>
      </c>
    </row>
    <row r="373">
      <c r="A373" s="6"/>
      <c r="B373" s="8" t="s">
        <v>1417</v>
      </c>
      <c r="C373" s="8"/>
      <c r="D373" s="8" t="s">
        <v>1418</v>
      </c>
      <c r="E373" s="8" t="s">
        <v>697</v>
      </c>
      <c r="F373" s="8" t="s">
        <v>1419</v>
      </c>
      <c r="G373" s="6"/>
      <c r="H373" s="13"/>
      <c r="I373" s="15" t="str">
        <f>=G373*J373</f>
      </c>
      <c r="J373" s="15" t="str">
        <f>IF(EXACT(K373,"V"),K$5,0)+IF(EXACT(L373,"V"),L$5,0)+IF(EXACT(M373,"V"),M$5,0)+IF(EXACT(N373,"V"),N$5,0)+IF(EXACT(O373,"V"),O$5,0)+IF(EXACT(P373,"V"),P$5,0)+IF(EXACT(Q373,"V"),Q$5,0)</f>
      </c>
      <c r="K373" s="17"/>
      <c r="L373" s="17"/>
      <c r="M373" s="17"/>
      <c r="N373" s="17"/>
      <c r="O373" s="17"/>
      <c r="P373" s="17"/>
      <c r="Q373" s="17"/>
      <c r="R373" s="15" t="s">
        <v>19</v>
      </c>
    </row>
    <row r="374">
      <c r="A374" s="6"/>
      <c r="B374" s="8" t="s">
        <v>1420</v>
      </c>
      <c r="C374" s="8"/>
      <c r="D374" s="8" t="s">
        <v>1421</v>
      </c>
      <c r="E374" s="8" t="s">
        <v>701</v>
      </c>
      <c r="F374" s="8" t="s">
        <v>1422</v>
      </c>
      <c r="G374" s="6"/>
      <c r="H374" s="13"/>
      <c r="I374" s="15" t="str">
        <f>=G374*J374</f>
      </c>
      <c r="J374" s="15" t="str">
        <f>IF(EXACT(K374,"V"),K$5,0)+IF(EXACT(L374,"V"),L$5,0)+IF(EXACT(M374,"V"),M$5,0)+IF(EXACT(N374,"V"),N$5,0)+IF(EXACT(O374,"V"),O$5,0)+IF(EXACT(P374,"V"),P$5,0)+IF(EXACT(Q374,"V"),Q$5,0)</f>
      </c>
      <c r="K374" s="17"/>
      <c r="L374" s="17"/>
      <c r="M374" s="17"/>
      <c r="N374" s="17"/>
      <c r="O374" s="17"/>
      <c r="P374" s="17"/>
      <c r="Q374" s="17"/>
      <c r="R374" s="15" t="s">
        <v>19</v>
      </c>
    </row>
    <row r="375">
      <c r="A375" s="6"/>
      <c r="B375" s="8" t="s">
        <v>1423</v>
      </c>
      <c r="C375" s="8"/>
      <c r="D375" s="8" t="s">
        <v>1424</v>
      </c>
      <c r="E375" s="8" t="s">
        <v>65</v>
      </c>
      <c r="F375" s="8" t="s">
        <v>1425</v>
      </c>
      <c r="G375" s="6"/>
      <c r="H375" s="13"/>
      <c r="I375" s="15" t="str">
        <f>=G375*J375</f>
      </c>
      <c r="J375" s="15" t="str">
        <f>IF(EXACT(K375,"V"),K$5,0)+IF(EXACT(L375,"V"),L$5,0)+IF(EXACT(M375,"V"),M$5,0)+IF(EXACT(N375,"V"),N$5,0)+IF(EXACT(O375,"V"),O$5,0)+IF(EXACT(P375,"V"),P$5,0)+IF(EXACT(Q375,"V"),Q$5,0)</f>
      </c>
      <c r="K375" s="17"/>
      <c r="L375" s="17"/>
      <c r="M375" s="17"/>
      <c r="N375" s="17"/>
      <c r="O375" s="17"/>
      <c r="P375" s="17"/>
      <c r="Q375" s="17"/>
      <c r="R375" s="15" t="s">
        <v>19</v>
      </c>
    </row>
    <row r="376">
      <c r="A376" s="6"/>
      <c r="B376" s="8" t="s">
        <v>1426</v>
      </c>
      <c r="C376" s="8"/>
      <c r="D376" s="8" t="s">
        <v>1427</v>
      </c>
      <c r="E376" s="8" t="s">
        <v>403</v>
      </c>
      <c r="F376" s="8" t="s">
        <v>1428</v>
      </c>
      <c r="G376" s="6"/>
      <c r="H376" s="13"/>
      <c r="I376" s="15" t="str">
        <f>=G376*J376</f>
      </c>
      <c r="J376" s="15" t="str">
        <f>IF(EXACT(K376,"V"),K$5,0)+IF(EXACT(L376,"V"),L$5,0)+IF(EXACT(M376,"V"),M$5,0)+IF(EXACT(N376,"V"),N$5,0)+IF(EXACT(O376,"V"),O$5,0)+IF(EXACT(P376,"V"),P$5,0)+IF(EXACT(Q376,"V"),Q$5,0)</f>
      </c>
      <c r="K376" s="17"/>
      <c r="L376" s="17"/>
      <c r="M376" s="17"/>
      <c r="N376" s="17"/>
      <c r="O376" s="17"/>
      <c r="P376" s="17"/>
      <c r="Q376" s="17"/>
      <c r="R376" s="15" t="s">
        <v>19</v>
      </c>
    </row>
    <row r="377">
      <c r="A377" s="7" t="s">
        <v>1429</v>
      </c>
      <c r="B377" s="9" t="s">
        <v>1430</v>
      </c>
      <c r="C377" s="9"/>
      <c r="D377" s="9" t="s">
        <v>1431</v>
      </c>
      <c r="E377" s="9" t="s">
        <v>605</v>
      </c>
      <c r="F377" s="9" t="s">
        <v>1432</v>
      </c>
      <c r="G377" s="7">
        <v>1</v>
      </c>
      <c r="H377" s="14" t="s">
        <v>1433</v>
      </c>
      <c r="I377" s="16" t="str">
        <f>=G377*J377</f>
      </c>
      <c r="J377" s="16" t="str">
        <f>IF(EXACT(K377,"V"),K$5,0)+IF(EXACT(L377,"V"),L$5,0)+IF(EXACT(M377,"V"),M$5,0)+IF(EXACT(N377,"V"),N$5,0)+IF(EXACT(O377,"V"),O$5,0)+IF(EXACT(P377,"V"),P$5,0)+IF(EXACT(Q377,"V"),Q$5,0)</f>
      </c>
      <c r="K377" s="18"/>
      <c r="L377" s="18"/>
      <c r="M377" s="18"/>
      <c r="N377" s="18"/>
      <c r="O377" s="18"/>
      <c r="P377" s="18"/>
      <c r="Q377" s="18"/>
      <c r="R377" s="16" t="s">
        <v>19</v>
      </c>
    </row>
    <row r="378">
      <c r="A378" s="7"/>
      <c r="B378" s="9" t="s">
        <v>1434</v>
      </c>
      <c r="C378" s="9"/>
      <c r="D378" s="9" t="s">
        <v>1435</v>
      </c>
      <c r="E378" s="9" t="s">
        <v>1436</v>
      </c>
      <c r="F378" s="9" t="s">
        <v>1437</v>
      </c>
      <c r="G378" s="7"/>
      <c r="H378" s="14"/>
      <c r="I378" s="16" t="str">
        <f>=G378*J378</f>
      </c>
      <c r="J378" s="16" t="str">
        <f>IF(EXACT(K378,"V"),K$5,0)+IF(EXACT(L378,"V"),L$5,0)+IF(EXACT(M378,"V"),M$5,0)+IF(EXACT(N378,"V"),N$5,0)+IF(EXACT(O378,"V"),O$5,0)+IF(EXACT(P378,"V"),P$5,0)+IF(EXACT(Q378,"V"),Q$5,0)</f>
      </c>
      <c r="K378" s="18"/>
      <c r="L378" s="18"/>
      <c r="M378" s="18"/>
      <c r="N378" s="18"/>
      <c r="O378" s="18"/>
      <c r="P378" s="18"/>
      <c r="Q378" s="18"/>
      <c r="R378" s="16" t="s">
        <v>19</v>
      </c>
    </row>
    <row r="379">
      <c r="A379" s="7"/>
      <c r="B379" s="9" t="s">
        <v>1438</v>
      </c>
      <c r="C379" s="9"/>
      <c r="D379" s="9" t="s">
        <v>1439</v>
      </c>
      <c r="E379" s="9" t="s">
        <v>614</v>
      </c>
      <c r="F379" s="9" t="s">
        <v>1440</v>
      </c>
      <c r="G379" s="7"/>
      <c r="H379" s="14"/>
      <c r="I379" s="16" t="str">
        <f>=G379*J379</f>
      </c>
      <c r="J379" s="16" t="str">
        <f>IF(EXACT(K379,"V"),K$5,0)+IF(EXACT(L379,"V"),L$5,0)+IF(EXACT(M379,"V"),M$5,0)+IF(EXACT(N379,"V"),N$5,0)+IF(EXACT(O379,"V"),O$5,0)+IF(EXACT(P379,"V"),P$5,0)+IF(EXACT(Q379,"V"),Q$5,0)</f>
      </c>
      <c r="K379" s="18"/>
      <c r="L379" s="18"/>
      <c r="M379" s="18"/>
      <c r="N379" s="18"/>
      <c r="O379" s="18"/>
      <c r="P379" s="18"/>
      <c r="Q379" s="18"/>
      <c r="R379" s="16" t="s">
        <v>19</v>
      </c>
    </row>
    <row r="380">
      <c r="A380" s="7"/>
      <c r="B380" s="9" t="s">
        <v>1441</v>
      </c>
      <c r="C380" s="9"/>
      <c r="D380" s="9" t="s">
        <v>1439</v>
      </c>
      <c r="E380" s="9" t="s">
        <v>1442</v>
      </c>
      <c r="F380" s="9" t="s">
        <v>1443</v>
      </c>
      <c r="G380" s="7"/>
      <c r="H380" s="14"/>
      <c r="I380" s="16" t="str">
        <f>=G380*J380</f>
      </c>
      <c r="J380" s="16" t="str">
        <f>IF(EXACT(K380,"V"),K$5,0)+IF(EXACT(L380,"V"),L$5,0)+IF(EXACT(M380,"V"),M$5,0)+IF(EXACT(N380,"V"),N$5,0)+IF(EXACT(O380,"V"),O$5,0)+IF(EXACT(P380,"V"),P$5,0)+IF(EXACT(Q380,"V"),Q$5,0)</f>
      </c>
      <c r="K380" s="18"/>
      <c r="L380" s="18"/>
      <c r="M380" s="18"/>
      <c r="N380" s="18"/>
      <c r="O380" s="18"/>
      <c r="P380" s="18"/>
      <c r="Q380" s="18"/>
      <c r="R380" s="16" t="s">
        <v>19</v>
      </c>
    </row>
    <row r="381">
      <c r="A381" s="7"/>
      <c r="B381" s="9" t="s">
        <v>1444</v>
      </c>
      <c r="C381" s="9"/>
      <c r="D381" s="9" t="s">
        <v>1445</v>
      </c>
      <c r="E381" s="9" t="s">
        <v>617</v>
      </c>
      <c r="F381" s="9" t="s">
        <v>1446</v>
      </c>
      <c r="G381" s="7"/>
      <c r="H381" s="14"/>
      <c r="I381" s="16" t="str">
        <f>=G381*J381</f>
      </c>
      <c r="J381" s="16" t="str">
        <f>IF(EXACT(K381,"V"),K$5,0)+IF(EXACT(L381,"V"),L$5,0)+IF(EXACT(M381,"V"),M$5,0)+IF(EXACT(N381,"V"),N$5,0)+IF(EXACT(O381,"V"),O$5,0)+IF(EXACT(P381,"V"),P$5,0)+IF(EXACT(Q381,"V"),Q$5,0)</f>
      </c>
      <c r="K381" s="18"/>
      <c r="L381" s="18"/>
      <c r="M381" s="18"/>
      <c r="N381" s="18"/>
      <c r="O381" s="18"/>
      <c r="P381" s="18"/>
      <c r="Q381" s="18"/>
      <c r="R381" s="16" t="s">
        <v>19</v>
      </c>
    </row>
  </sheetData>
  <mergeCells count="2">
    <mergeCell ref="A1:R1"/>
    <mergeCell ref="A2:R2"/>
  </mergeCells>
  <phoneticPr fontId="11" type="noConversion"/>
  <pageMargins left="0.7" right="0.7" top="0.75" bottom="0.75" header="0.3" footer="0.3"/>
</worksheet>
</file>

<file path=xl/worksheets/sheet3.xml><?xml version="1.0" encoding="utf-8"?>
<worksheet xmlns="http://schemas.openxmlformats.org/spreadsheetml/2006/main">
  <dimension ref="A1"/>
  <sheetViews>
    <sheetView workbookViewId="0"/>
  </sheetViews>
  <sheetData>
    <row r="5">
      <c r="K5" t="s">
        <v>19</v>
      </c>
      <c r="L5" t="s">
        <v>19</v>
      </c>
      <c r="M5" t="s">
        <v>19</v>
      </c>
      <c r="N5" t="s">
        <v>19</v>
      </c>
      <c r="O5" t="s">
        <v>19</v>
      </c>
      <c r="P5" t="s">
        <v>19</v>
      </c>
      <c r="Q5" t="s">
        <v>19</v>
      </c>
    </row>
    <row r="6">
      <c r="A6" s="6" t="s">
        <v>1447</v>
      </c>
      <c r="B6" s="8" t="s">
        <v>1448</v>
      </c>
      <c r="C6" s="8"/>
      <c r="D6" s="8" t="s">
        <v>1449</v>
      </c>
      <c r="E6" s="8" t="s">
        <v>285</v>
      </c>
      <c r="F6" s="8" t="s">
        <v>1450</v>
      </c>
      <c r="G6" s="6">
        <v>1</v>
      </c>
      <c r="H6" s="13" t="s">
        <v>1451</v>
      </c>
      <c r="I6" s="15" t="str">
        <f>=G6*J6</f>
      </c>
      <c r="J6" s="15" t="str">
        <f>IF(EXACT(K6,"V"),K$5,0)+IF(EXACT(L6,"V"),L$5,0)+IF(EXACT(M6,"V"),M$5,0)+IF(EXACT(N6,"V"),N$5,0)+IF(EXACT(O6,"V"),O$5,0)+IF(EXACT(P6,"V"),P$5,0)+IF(EXACT(Q6,"V"),Q$5,0)</f>
      </c>
      <c r="K6" s="17"/>
      <c r="L6" s="17"/>
      <c r="M6" s="17"/>
      <c r="N6" s="17"/>
      <c r="O6" s="17"/>
      <c r="P6" s="17"/>
      <c r="Q6" s="17"/>
      <c r="R6" s="15" t="s">
        <v>1452</v>
      </c>
    </row>
    <row r="7">
      <c r="A7" s="7" t="s">
        <v>1453</v>
      </c>
      <c r="B7" s="9" t="s">
        <v>1454</v>
      </c>
      <c r="C7" s="9"/>
      <c r="D7" s="9" t="s">
        <v>1455</v>
      </c>
      <c r="E7" s="9" t="s">
        <v>566</v>
      </c>
      <c r="F7" s="9" t="s">
        <v>1454</v>
      </c>
      <c r="G7" s="7">
        <v>1</v>
      </c>
      <c r="H7" s="14" t="s">
        <v>1456</v>
      </c>
      <c r="I7" s="16" t="str">
        <f>=G7*J7</f>
      </c>
      <c r="J7" s="16" t="str">
        <f>IF(EXACT(K7,"V"),K$5,0)+IF(EXACT(L7,"V"),L$5,0)+IF(EXACT(M7,"V"),M$5,0)+IF(EXACT(N7,"V"),N$5,0)+IF(EXACT(O7,"V"),O$5,0)+IF(EXACT(P7,"V"),P$5,0)+IF(EXACT(Q7,"V"),Q$5,0)</f>
      </c>
      <c r="K7" s="18"/>
      <c r="L7" s="18"/>
      <c r="M7" s="18"/>
      <c r="N7" s="18"/>
      <c r="O7" s="18"/>
      <c r="P7" s="18"/>
      <c r="Q7" s="18"/>
      <c r="R7" s="16" t="s">
        <v>19</v>
      </c>
    </row>
    <row r="8">
      <c r="A8" s="6" t="s">
        <v>1457</v>
      </c>
      <c r="B8" s="8" t="s">
        <v>1458</v>
      </c>
      <c r="C8" s="8"/>
      <c r="D8" s="8" t="s">
        <v>1459</v>
      </c>
      <c r="E8" s="8" t="s">
        <v>1460</v>
      </c>
      <c r="F8" s="8" t="s">
        <v>1461</v>
      </c>
      <c r="G8" s="6">
        <v>1</v>
      </c>
      <c r="H8" s="13" t="s">
        <v>1462</v>
      </c>
      <c r="I8" s="15" t="str">
        <f>=G8*J8</f>
      </c>
      <c r="J8" s="15" t="str">
        <f>IF(EXACT(K8,"V"),K$5,0)+IF(EXACT(L8,"V"),L$5,0)+IF(EXACT(M8,"V"),M$5,0)+IF(EXACT(N8,"V"),N$5,0)+IF(EXACT(O8,"V"),O$5,0)+IF(EXACT(P8,"V"),P$5,0)+IF(EXACT(Q8,"V"),Q$5,0)</f>
      </c>
      <c r="K8" s="17"/>
      <c r="L8" s="17"/>
      <c r="M8" s="17"/>
      <c r="N8" s="17"/>
      <c r="O8" s="17"/>
      <c r="P8" s="17"/>
      <c r="Q8" s="17"/>
      <c r="R8" s="15" t="s">
        <v>19</v>
      </c>
    </row>
    <row r="9">
      <c r="A9" s="6"/>
      <c r="B9" s="8" t="s">
        <v>1463</v>
      </c>
      <c r="C9" s="8"/>
      <c r="D9" s="8" t="s">
        <v>1459</v>
      </c>
      <c r="E9" s="8" t="s">
        <v>1464</v>
      </c>
      <c r="F9" s="8" t="s">
        <v>1465</v>
      </c>
      <c r="G9" s="6"/>
      <c r="H9" s="13"/>
      <c r="I9" s="15" t="str">
        <f>=G9*J9</f>
      </c>
      <c r="J9" s="15" t="str">
        <f>IF(EXACT(K9,"V"),K$5,0)+IF(EXACT(L9,"V"),L$5,0)+IF(EXACT(M9,"V"),M$5,0)+IF(EXACT(N9,"V"),N$5,0)+IF(EXACT(O9,"V"),O$5,0)+IF(EXACT(P9,"V"),P$5,0)+IF(EXACT(Q9,"V"),Q$5,0)</f>
      </c>
      <c r="K9" s="17"/>
      <c r="L9" s="17"/>
      <c r="M9" s="17"/>
      <c r="N9" s="17"/>
      <c r="O9" s="17"/>
      <c r="P9" s="17"/>
      <c r="Q9" s="17"/>
      <c r="R9" s="15" t="s">
        <v>19</v>
      </c>
    </row>
    <row r="10">
      <c r="A10" s="6"/>
      <c r="B10" s="8" t="s">
        <v>1466</v>
      </c>
      <c r="C10" s="8"/>
      <c r="D10" s="8" t="s">
        <v>1459</v>
      </c>
      <c r="E10" s="8" t="s">
        <v>566</v>
      </c>
      <c r="F10" s="8" t="s">
        <v>1467</v>
      </c>
      <c r="G10" s="6"/>
      <c r="H10" s="13"/>
      <c r="I10" s="15" t="str">
        <f>=G10*J10</f>
      </c>
      <c r="J10" s="15" t="str">
        <f>IF(EXACT(K10,"V"),K$5,0)+IF(EXACT(L10,"V"),L$5,0)+IF(EXACT(M10,"V"),M$5,0)+IF(EXACT(N10,"V"),N$5,0)+IF(EXACT(O10,"V"),O$5,0)+IF(EXACT(P10,"V"),P$5,0)+IF(EXACT(Q10,"V"),Q$5,0)</f>
      </c>
      <c r="K10" s="17"/>
      <c r="L10" s="17"/>
      <c r="M10" s="17"/>
      <c r="N10" s="17"/>
      <c r="O10" s="17"/>
      <c r="P10" s="17"/>
      <c r="Q10" s="17"/>
      <c r="R10" s="15" t="s">
        <v>19</v>
      </c>
    </row>
    <row r="11">
      <c r="A11" s="7" t="s">
        <v>1468</v>
      </c>
      <c r="B11" s="9" t="s">
        <v>1469</v>
      </c>
      <c r="C11" s="9"/>
      <c r="D11" s="9" t="s">
        <v>1470</v>
      </c>
      <c r="E11" s="9" t="s">
        <v>1471</v>
      </c>
      <c r="F11" s="9" t="s">
        <v>1472</v>
      </c>
      <c r="G11" s="7">
        <v>1</v>
      </c>
      <c r="H11" s="14" t="s">
        <v>1473</v>
      </c>
      <c r="I11" s="16" t="str">
        <f>=G11*J11</f>
      </c>
      <c r="J11" s="16" t="str">
        <f>IF(EXACT(K11,"V"),K$5,0)+IF(EXACT(L11,"V"),L$5,0)+IF(EXACT(M11,"V"),M$5,0)+IF(EXACT(N11,"V"),N$5,0)+IF(EXACT(O11,"V"),O$5,0)+IF(EXACT(P11,"V"),P$5,0)+IF(EXACT(Q11,"V"),Q$5,0)</f>
      </c>
      <c r="K11" s="18"/>
      <c r="L11" s="18"/>
      <c r="M11" s="18"/>
      <c r="N11" s="18"/>
      <c r="O11" s="18"/>
      <c r="P11" s="18"/>
      <c r="Q11" s="18"/>
      <c r="R11" s="16" t="s">
        <v>19</v>
      </c>
    </row>
    <row r="12">
      <c r="A12" s="7"/>
      <c r="B12" s="9" t="s">
        <v>1474</v>
      </c>
      <c r="C12" s="9"/>
      <c r="D12" s="9" t="s">
        <v>1470</v>
      </c>
      <c r="E12" s="9" t="s">
        <v>1475</v>
      </c>
      <c r="F12" s="9" t="s">
        <v>1476</v>
      </c>
      <c r="G12" s="7"/>
      <c r="H12" s="14"/>
      <c r="I12" s="16" t="str">
        <f>=G12*J12</f>
      </c>
      <c r="J12" s="16" t="str">
        <f>IF(EXACT(K12,"V"),K$5,0)+IF(EXACT(L12,"V"),L$5,0)+IF(EXACT(M12,"V"),M$5,0)+IF(EXACT(N12,"V"),N$5,0)+IF(EXACT(O12,"V"),O$5,0)+IF(EXACT(P12,"V"),P$5,0)+IF(EXACT(Q12,"V"),Q$5,0)</f>
      </c>
      <c r="K12" s="18"/>
      <c r="L12" s="18"/>
      <c r="M12" s="18"/>
      <c r="N12" s="18"/>
      <c r="O12" s="18"/>
      <c r="P12" s="18"/>
      <c r="Q12" s="18"/>
      <c r="R12" s="16" t="s">
        <v>19</v>
      </c>
    </row>
    <row r="13">
      <c r="A13" s="7"/>
      <c r="B13" s="9" t="s">
        <v>1477</v>
      </c>
      <c r="C13" s="9"/>
      <c r="D13" s="9" t="s">
        <v>1470</v>
      </c>
      <c r="E13" s="9" t="s">
        <v>1478</v>
      </c>
      <c r="F13" s="9" t="s">
        <v>1479</v>
      </c>
      <c r="G13" s="7"/>
      <c r="H13" s="14"/>
      <c r="I13" s="16" t="str">
        <f>=G13*J13</f>
      </c>
      <c r="J13" s="16" t="str">
        <f>IF(EXACT(K13,"V"),K$5,0)+IF(EXACT(L13,"V"),L$5,0)+IF(EXACT(M13,"V"),M$5,0)+IF(EXACT(N13,"V"),N$5,0)+IF(EXACT(O13,"V"),O$5,0)+IF(EXACT(P13,"V"),P$5,0)+IF(EXACT(Q13,"V"),Q$5,0)</f>
      </c>
      <c r="K13" s="18"/>
      <c r="L13" s="18"/>
      <c r="M13" s="18"/>
      <c r="N13" s="18"/>
      <c r="O13" s="18"/>
      <c r="P13" s="18"/>
      <c r="Q13" s="18"/>
      <c r="R13" s="16" t="s">
        <v>19</v>
      </c>
    </row>
    <row r="14">
      <c r="A14" s="6" t="s">
        <v>1480</v>
      </c>
      <c r="B14" s="8" t="s">
        <v>1481</v>
      </c>
      <c r="C14" s="8"/>
      <c r="D14" s="8" t="s">
        <v>1482</v>
      </c>
      <c r="E14" s="8" t="s">
        <v>482</v>
      </c>
      <c r="F14" s="8" t="s">
        <v>1483</v>
      </c>
      <c r="G14" s="6">
        <v>1</v>
      </c>
      <c r="H14" s="13" t="s">
        <v>1484</v>
      </c>
      <c r="I14" s="15" t="str">
        <f>=G14*J14</f>
      </c>
      <c r="J14" s="15" t="str">
        <f>IF(EXACT(K14,"V"),K$5,0)+IF(EXACT(L14,"V"),L$5,0)+IF(EXACT(M14,"V"),M$5,0)+IF(EXACT(N14,"V"),N$5,0)+IF(EXACT(O14,"V"),O$5,0)+IF(EXACT(P14,"V"),P$5,0)+IF(EXACT(Q14,"V"),Q$5,0)</f>
      </c>
      <c r="K14" s="17"/>
      <c r="L14" s="17"/>
      <c r="M14" s="17"/>
      <c r="N14" s="17"/>
      <c r="O14" s="17"/>
      <c r="P14" s="17"/>
      <c r="Q14" s="17"/>
      <c r="R14" s="15" t="s">
        <v>19</v>
      </c>
    </row>
    <row r="15">
      <c r="A15" s="6"/>
      <c r="B15" s="8" t="s">
        <v>1485</v>
      </c>
      <c r="C15" s="8"/>
      <c r="D15" s="8" t="s">
        <v>1482</v>
      </c>
      <c r="E15" s="8" t="s">
        <v>473</v>
      </c>
      <c r="F15" s="8" t="s">
        <v>1486</v>
      </c>
      <c r="G15" s="6"/>
      <c r="H15" s="13"/>
      <c r="I15" s="15" t="str">
        <f>=G15*J15</f>
      </c>
      <c r="J15" s="15" t="str">
        <f>IF(EXACT(K15,"V"),K$5,0)+IF(EXACT(L15,"V"),L$5,0)+IF(EXACT(M15,"V"),M$5,0)+IF(EXACT(N15,"V"),N$5,0)+IF(EXACT(O15,"V"),O$5,0)+IF(EXACT(P15,"V"),P$5,0)+IF(EXACT(Q15,"V"),Q$5,0)</f>
      </c>
      <c r="K15" s="17"/>
      <c r="L15" s="17"/>
      <c r="M15" s="17"/>
      <c r="N15" s="17"/>
      <c r="O15" s="17"/>
      <c r="P15" s="17"/>
      <c r="Q15" s="17"/>
      <c r="R15" s="15" t="s">
        <v>19</v>
      </c>
    </row>
    <row r="16">
      <c r="A16" s="6"/>
      <c r="B16" s="8" t="s">
        <v>1487</v>
      </c>
      <c r="C16" s="8"/>
      <c r="D16" s="8" t="s">
        <v>1482</v>
      </c>
      <c r="E16" s="8" t="s">
        <v>529</v>
      </c>
      <c r="F16" s="8" t="s">
        <v>1488</v>
      </c>
      <c r="G16" s="6"/>
      <c r="H16" s="13"/>
      <c r="I16" s="15" t="str">
        <f>=G16*J16</f>
      </c>
      <c r="J16" s="15" t="str">
        <f>IF(EXACT(K16,"V"),K$5,0)+IF(EXACT(L16,"V"),L$5,0)+IF(EXACT(M16,"V"),M$5,0)+IF(EXACT(N16,"V"),N$5,0)+IF(EXACT(O16,"V"),O$5,0)+IF(EXACT(P16,"V"),P$5,0)+IF(EXACT(Q16,"V"),Q$5,0)</f>
      </c>
      <c r="K16" s="17"/>
      <c r="L16" s="17"/>
      <c r="M16" s="17"/>
      <c r="N16" s="17"/>
      <c r="O16" s="17"/>
      <c r="P16" s="17"/>
      <c r="Q16" s="17"/>
      <c r="R16" s="15" t="s">
        <v>19</v>
      </c>
    </row>
    <row r="17">
      <c r="A17" s="7" t="s">
        <v>1489</v>
      </c>
      <c r="B17" s="9" t="s">
        <v>1490</v>
      </c>
      <c r="C17" s="9"/>
      <c r="D17" s="9" t="s">
        <v>1491</v>
      </c>
      <c r="E17" s="9" t="s">
        <v>473</v>
      </c>
      <c r="F17" s="9" t="s">
        <v>1492</v>
      </c>
      <c r="G17" s="7">
        <v>1</v>
      </c>
      <c r="H17" s="14" t="s">
        <v>1493</v>
      </c>
      <c r="I17" s="16" t="str">
        <f>=G17*J17</f>
      </c>
      <c r="J17" s="16" t="str">
        <f>IF(EXACT(K17,"V"),K$5,0)+IF(EXACT(L17,"V"),L$5,0)+IF(EXACT(M17,"V"),M$5,0)+IF(EXACT(N17,"V"),N$5,0)+IF(EXACT(O17,"V"),O$5,0)+IF(EXACT(P17,"V"),P$5,0)+IF(EXACT(Q17,"V"),Q$5,0)</f>
      </c>
      <c r="K17" s="18"/>
      <c r="L17" s="18"/>
      <c r="M17" s="18"/>
      <c r="N17" s="18"/>
      <c r="O17" s="18"/>
      <c r="P17" s="18"/>
      <c r="Q17" s="18"/>
      <c r="R17" s="16" t="s">
        <v>1452</v>
      </c>
    </row>
    <row r="18">
      <c r="A18" s="7"/>
      <c r="B18" s="9" t="s">
        <v>1494</v>
      </c>
      <c r="C18" s="9"/>
      <c r="D18" s="9" t="s">
        <v>1491</v>
      </c>
      <c r="E18" s="9" t="s">
        <v>478</v>
      </c>
      <c r="F18" s="9" t="s">
        <v>1495</v>
      </c>
      <c r="G18" s="7"/>
      <c r="H18" s="14"/>
      <c r="I18" s="16" t="str">
        <f>=G18*J18</f>
      </c>
      <c r="J18" s="16" t="str">
        <f>IF(EXACT(K18,"V"),K$5,0)+IF(EXACT(L18,"V"),L$5,0)+IF(EXACT(M18,"V"),M$5,0)+IF(EXACT(N18,"V"),N$5,0)+IF(EXACT(O18,"V"),O$5,0)+IF(EXACT(P18,"V"),P$5,0)+IF(EXACT(Q18,"V"),Q$5,0)</f>
      </c>
      <c r="K18" s="18"/>
      <c r="L18" s="18"/>
      <c r="M18" s="18"/>
      <c r="N18" s="18"/>
      <c r="O18" s="18"/>
      <c r="P18" s="18"/>
      <c r="Q18" s="18"/>
      <c r="R18" s="16" t="s">
        <v>1452</v>
      </c>
    </row>
    <row r="19">
      <c r="A19" s="7"/>
      <c r="B19" s="9" t="s">
        <v>1496</v>
      </c>
      <c r="C19" s="9"/>
      <c r="D19" s="9" t="s">
        <v>1491</v>
      </c>
      <c r="E19" s="9" t="s">
        <v>482</v>
      </c>
      <c r="F19" s="9" t="s">
        <v>1497</v>
      </c>
      <c r="G19" s="7"/>
      <c r="H19" s="14"/>
      <c r="I19" s="16" t="str">
        <f>=G19*J19</f>
      </c>
      <c r="J19" s="16" t="str">
        <f>IF(EXACT(K19,"V"),K$5,0)+IF(EXACT(L19,"V"),L$5,0)+IF(EXACT(M19,"V"),M$5,0)+IF(EXACT(N19,"V"),N$5,0)+IF(EXACT(O19,"V"),O$5,0)+IF(EXACT(P19,"V"),P$5,0)+IF(EXACT(Q19,"V"),Q$5,0)</f>
      </c>
      <c r="K19" s="18"/>
      <c r="L19" s="18"/>
      <c r="M19" s="18"/>
      <c r="N19" s="18"/>
      <c r="O19" s="18"/>
      <c r="P19" s="18"/>
      <c r="Q19" s="18"/>
      <c r="R19" s="16" t="s">
        <v>1452</v>
      </c>
    </row>
    <row r="20">
      <c r="A20" s="6" t="s">
        <v>1498</v>
      </c>
      <c r="B20" s="8" t="s">
        <v>1499</v>
      </c>
      <c r="C20" s="8"/>
      <c r="D20" s="8" t="s">
        <v>1500</v>
      </c>
      <c r="E20" s="8" t="s">
        <v>746</v>
      </c>
      <c r="F20" s="8" t="s">
        <v>1501</v>
      </c>
      <c r="G20" s="6">
        <v>1</v>
      </c>
      <c r="H20" s="13" t="s">
        <v>1502</v>
      </c>
      <c r="I20" s="15" t="str">
        <f>=G20*J20</f>
      </c>
      <c r="J20" s="15" t="str">
        <f>IF(EXACT(K20,"V"),K$5,0)+IF(EXACT(L20,"V"),L$5,0)+IF(EXACT(M20,"V"),M$5,0)+IF(EXACT(N20,"V"),N$5,0)+IF(EXACT(O20,"V"),O$5,0)+IF(EXACT(P20,"V"),P$5,0)+IF(EXACT(Q20,"V"),Q$5,0)</f>
      </c>
      <c r="K20" s="17"/>
      <c r="L20" s="17"/>
      <c r="M20" s="17"/>
      <c r="N20" s="17"/>
      <c r="O20" s="17"/>
      <c r="P20" s="17"/>
      <c r="Q20" s="17"/>
      <c r="R20" s="15" t="s">
        <v>19</v>
      </c>
    </row>
    <row r="21">
      <c r="A21" s="6"/>
      <c r="B21" s="8" t="s">
        <v>1503</v>
      </c>
      <c r="C21" s="8"/>
      <c r="D21" s="8" t="s">
        <v>1504</v>
      </c>
      <c r="E21" s="8" t="s">
        <v>742</v>
      </c>
      <c r="F21" s="8" t="s">
        <v>1505</v>
      </c>
      <c r="G21" s="6"/>
      <c r="H21" s="13"/>
      <c r="I21" s="15" t="str">
        <f>=G21*J21</f>
      </c>
      <c r="J21" s="15" t="str">
        <f>IF(EXACT(K21,"V"),K$5,0)+IF(EXACT(L21,"V"),L$5,0)+IF(EXACT(M21,"V"),M$5,0)+IF(EXACT(N21,"V"),N$5,0)+IF(EXACT(O21,"V"),O$5,0)+IF(EXACT(P21,"V"),P$5,0)+IF(EXACT(Q21,"V"),Q$5,0)</f>
      </c>
      <c r="K21" s="17"/>
      <c r="L21" s="17"/>
      <c r="M21" s="17"/>
      <c r="N21" s="17"/>
      <c r="O21" s="17"/>
      <c r="P21" s="17"/>
      <c r="Q21" s="17"/>
      <c r="R21" s="15" t="s">
        <v>19</v>
      </c>
    </row>
    <row r="22">
      <c r="A22" s="6"/>
      <c r="B22" s="8" t="s">
        <v>1506</v>
      </c>
      <c r="C22" s="8"/>
      <c r="D22" s="8" t="s">
        <v>1507</v>
      </c>
      <c r="E22" s="8" t="s">
        <v>742</v>
      </c>
      <c r="F22" s="8" t="s">
        <v>1508</v>
      </c>
      <c r="G22" s="6"/>
      <c r="H22" s="13"/>
      <c r="I22" s="15" t="str">
        <f>=G22*J22</f>
      </c>
      <c r="J22" s="15" t="str">
        <f>IF(EXACT(K22,"V"),K$5,0)+IF(EXACT(L22,"V"),L$5,0)+IF(EXACT(M22,"V"),M$5,0)+IF(EXACT(N22,"V"),N$5,0)+IF(EXACT(O22,"V"),O$5,0)+IF(EXACT(P22,"V"),P$5,0)+IF(EXACT(Q22,"V"),Q$5,0)</f>
      </c>
      <c r="K22" s="17"/>
      <c r="L22" s="17"/>
      <c r="M22" s="17"/>
      <c r="N22" s="17"/>
      <c r="O22" s="17"/>
      <c r="P22" s="17"/>
      <c r="Q22" s="17"/>
      <c r="R22" s="15" t="s">
        <v>19</v>
      </c>
    </row>
    <row r="23">
      <c r="A23" s="6"/>
      <c r="B23" s="8" t="s">
        <v>1509</v>
      </c>
      <c r="C23" s="8"/>
      <c r="D23" s="8" t="s">
        <v>1510</v>
      </c>
      <c r="E23" s="8" t="s">
        <v>599</v>
      </c>
      <c r="F23" s="8" t="s">
        <v>1511</v>
      </c>
      <c r="G23" s="6"/>
      <c r="H23" s="13"/>
      <c r="I23" s="15" t="str">
        <f>=G23*J23</f>
      </c>
      <c r="J23" s="15" t="str">
        <f>IF(EXACT(K23,"V"),K$5,0)+IF(EXACT(L23,"V"),L$5,0)+IF(EXACT(M23,"V"),M$5,0)+IF(EXACT(N23,"V"),N$5,0)+IF(EXACT(O23,"V"),O$5,0)+IF(EXACT(P23,"V"),P$5,0)+IF(EXACT(Q23,"V"),Q$5,0)</f>
      </c>
      <c r="K23" s="17"/>
      <c r="L23" s="17"/>
      <c r="M23" s="17"/>
      <c r="N23" s="17"/>
      <c r="O23" s="17"/>
      <c r="P23" s="17"/>
      <c r="Q23" s="17"/>
      <c r="R23" s="15" t="s">
        <v>19</v>
      </c>
    </row>
    <row r="24">
      <c r="A24" s="6"/>
      <c r="B24" s="8" t="s">
        <v>1512</v>
      </c>
      <c r="C24" s="8"/>
      <c r="D24" s="8" t="s">
        <v>1513</v>
      </c>
      <c r="E24" s="8" t="s">
        <v>599</v>
      </c>
      <c r="F24" s="8" t="s">
        <v>1514</v>
      </c>
      <c r="G24" s="6"/>
      <c r="H24" s="13"/>
      <c r="I24" s="15" t="str">
        <f>=G24*J24</f>
      </c>
      <c r="J24" s="15" t="str">
        <f>IF(EXACT(K24,"V"),K$5,0)+IF(EXACT(L24,"V"),L$5,0)+IF(EXACT(M24,"V"),M$5,0)+IF(EXACT(N24,"V"),N$5,0)+IF(EXACT(O24,"V"),O$5,0)+IF(EXACT(P24,"V"),P$5,0)+IF(EXACT(Q24,"V"),Q$5,0)</f>
      </c>
      <c r="K24" s="17"/>
      <c r="L24" s="17"/>
      <c r="M24" s="17"/>
      <c r="N24" s="17"/>
      <c r="O24" s="17"/>
      <c r="P24" s="17"/>
      <c r="Q24" s="17"/>
      <c r="R24" s="15" t="s">
        <v>19</v>
      </c>
    </row>
    <row r="25">
      <c r="A25" s="6"/>
      <c r="B25" s="8" t="s">
        <v>1515</v>
      </c>
      <c r="C25" s="8"/>
      <c r="D25" s="8" t="s">
        <v>1516</v>
      </c>
      <c r="E25" s="8" t="s">
        <v>1517</v>
      </c>
      <c r="F25" s="8" t="s">
        <v>1518</v>
      </c>
      <c r="G25" s="6"/>
      <c r="H25" s="13"/>
      <c r="I25" s="15" t="str">
        <f>=G25*J25</f>
      </c>
      <c r="J25" s="15" t="str">
        <f>IF(EXACT(K25,"V"),K$5,0)+IF(EXACT(L25,"V"),L$5,0)+IF(EXACT(M25,"V"),M$5,0)+IF(EXACT(N25,"V"),N$5,0)+IF(EXACT(O25,"V"),O$5,0)+IF(EXACT(P25,"V"),P$5,0)+IF(EXACT(Q25,"V"),Q$5,0)</f>
      </c>
      <c r="K25" s="17"/>
      <c r="L25" s="17"/>
      <c r="M25" s="17"/>
      <c r="N25" s="17"/>
      <c r="O25" s="17"/>
      <c r="P25" s="17"/>
      <c r="Q25" s="17"/>
      <c r="R25" s="15" t="s">
        <v>19</v>
      </c>
    </row>
    <row r="26">
      <c r="A26" s="7" t="s">
        <v>1519</v>
      </c>
      <c r="B26" s="9" t="s">
        <v>1520</v>
      </c>
      <c r="C26" s="9"/>
      <c r="D26" s="9" t="s">
        <v>1521</v>
      </c>
      <c r="E26" s="9" t="s">
        <v>599</v>
      </c>
      <c r="F26" s="9" t="s">
        <v>1522</v>
      </c>
      <c r="G26" s="7">
        <v>1</v>
      </c>
      <c r="H26" s="14" t="s">
        <v>1523</v>
      </c>
      <c r="I26" s="16" t="str">
        <f>=G26*J26</f>
      </c>
      <c r="J26" s="16" t="str">
        <f>IF(EXACT(K26,"V"),K$5,0)+IF(EXACT(L26,"V"),L$5,0)+IF(EXACT(M26,"V"),M$5,0)+IF(EXACT(N26,"V"),N$5,0)+IF(EXACT(O26,"V"),O$5,0)+IF(EXACT(P26,"V"),P$5,0)+IF(EXACT(Q26,"V"),Q$5,0)</f>
      </c>
      <c r="K26" s="18"/>
      <c r="L26" s="18"/>
      <c r="M26" s="18"/>
      <c r="N26" s="18"/>
      <c r="O26" s="18"/>
      <c r="P26" s="18"/>
      <c r="Q26" s="18"/>
      <c r="R26" s="16" t="s">
        <v>19</v>
      </c>
    </row>
    <row r="27">
      <c r="A27" s="7"/>
      <c r="B27" s="9" t="s">
        <v>1524</v>
      </c>
      <c r="C27" s="9"/>
      <c r="D27" s="9" t="s">
        <v>1525</v>
      </c>
      <c r="E27" s="9" t="s">
        <v>742</v>
      </c>
      <c r="F27" s="9" t="s">
        <v>1526</v>
      </c>
      <c r="G27" s="7"/>
      <c r="H27" s="14"/>
      <c r="I27" s="16" t="str">
        <f>=G27*J27</f>
      </c>
      <c r="J27" s="16" t="str">
        <f>IF(EXACT(K27,"V"),K$5,0)+IF(EXACT(L27,"V"),L$5,0)+IF(EXACT(M27,"V"),M$5,0)+IF(EXACT(N27,"V"),N$5,0)+IF(EXACT(O27,"V"),O$5,0)+IF(EXACT(P27,"V"),P$5,0)+IF(EXACT(Q27,"V"),Q$5,0)</f>
      </c>
      <c r="K27" s="18"/>
      <c r="L27" s="18"/>
      <c r="M27" s="18"/>
      <c r="N27" s="18"/>
      <c r="O27" s="18"/>
      <c r="P27" s="18"/>
      <c r="Q27" s="18"/>
      <c r="R27" s="16" t="s">
        <v>19</v>
      </c>
    </row>
    <row r="28">
      <c r="A28" s="7"/>
      <c r="B28" s="9" t="s">
        <v>1527</v>
      </c>
      <c r="C28" s="9"/>
      <c r="D28" s="9" t="s">
        <v>1528</v>
      </c>
      <c r="E28" s="9" t="s">
        <v>746</v>
      </c>
      <c r="F28" s="9" t="s">
        <v>1529</v>
      </c>
      <c r="G28" s="7"/>
      <c r="H28" s="14"/>
      <c r="I28" s="16" t="str">
        <f>=G28*J28</f>
      </c>
      <c r="J28" s="16" t="str">
        <f>IF(EXACT(K28,"V"),K$5,0)+IF(EXACT(L28,"V"),L$5,0)+IF(EXACT(M28,"V"),M$5,0)+IF(EXACT(N28,"V"),N$5,0)+IF(EXACT(O28,"V"),O$5,0)+IF(EXACT(P28,"V"),P$5,0)+IF(EXACT(Q28,"V"),Q$5,0)</f>
      </c>
      <c r="K28" s="18"/>
      <c r="L28" s="18"/>
      <c r="M28" s="18"/>
      <c r="N28" s="18"/>
      <c r="O28" s="18"/>
      <c r="P28" s="18"/>
      <c r="Q28" s="18"/>
      <c r="R28" s="16" t="s">
        <v>19</v>
      </c>
    </row>
    <row r="29">
      <c r="A29" s="6" t="s">
        <v>1530</v>
      </c>
      <c r="B29" s="8" t="s">
        <v>1531</v>
      </c>
      <c r="C29" s="8"/>
      <c r="D29" s="8" t="s">
        <v>1532</v>
      </c>
      <c r="E29" s="8" t="s">
        <v>566</v>
      </c>
      <c r="F29" s="8" t="s">
        <v>1533</v>
      </c>
      <c r="G29" s="6">
        <v>2</v>
      </c>
      <c r="H29" s="13" t="s">
        <v>1534</v>
      </c>
      <c r="I29" s="15" t="str">
        <f>=G29*J29</f>
      </c>
      <c r="J29" s="15" t="str">
        <f>IF(EXACT(K29,"V"),K$5,0)+IF(EXACT(L29,"V"),L$5,0)+IF(EXACT(M29,"V"),M$5,0)+IF(EXACT(N29,"V"),N$5,0)+IF(EXACT(O29,"V"),O$5,0)+IF(EXACT(P29,"V"),P$5,0)+IF(EXACT(Q29,"V"),Q$5,0)</f>
      </c>
      <c r="K29" s="17"/>
      <c r="L29" s="17"/>
      <c r="M29" s="17"/>
      <c r="N29" s="17"/>
      <c r="O29" s="17"/>
      <c r="P29" s="17"/>
      <c r="Q29" s="17"/>
      <c r="R29" s="15" t="s">
        <v>1535</v>
      </c>
    </row>
    <row r="30">
      <c r="A30" s="6"/>
      <c r="B30" s="8" t="s">
        <v>1536</v>
      </c>
      <c r="C30" s="8"/>
      <c r="D30" s="8" t="s">
        <v>1532</v>
      </c>
      <c r="E30" s="8" t="s">
        <v>558</v>
      </c>
      <c r="F30" s="8" t="s">
        <v>1537</v>
      </c>
      <c r="G30" s="6"/>
      <c r="H30" s="13"/>
      <c r="I30" s="15" t="str">
        <f>=G30*J30</f>
      </c>
      <c r="J30" s="15" t="str">
        <f>IF(EXACT(K30,"V"),K$5,0)+IF(EXACT(L30,"V"),L$5,0)+IF(EXACT(M30,"V"),M$5,0)+IF(EXACT(N30,"V"),N$5,0)+IF(EXACT(O30,"V"),O$5,0)+IF(EXACT(P30,"V"),P$5,0)+IF(EXACT(Q30,"V"),Q$5,0)</f>
      </c>
      <c r="K30" s="17"/>
      <c r="L30" s="17"/>
      <c r="M30" s="17"/>
      <c r="N30" s="17"/>
      <c r="O30" s="17"/>
      <c r="P30" s="17"/>
      <c r="Q30" s="17"/>
      <c r="R30" s="15" t="s">
        <v>1538</v>
      </c>
    </row>
    <row r="31">
      <c r="A31" s="6"/>
      <c r="B31" s="8" t="s">
        <v>1539</v>
      </c>
      <c r="C31" s="8"/>
      <c r="D31" s="8" t="s">
        <v>1540</v>
      </c>
      <c r="E31" s="8" t="s">
        <v>572</v>
      </c>
      <c r="F31" s="8" t="s">
        <v>1541</v>
      </c>
      <c r="G31" s="6"/>
      <c r="H31" s="13"/>
      <c r="I31" s="15" t="str">
        <f>=G31*J31</f>
      </c>
      <c r="J31" s="15" t="str">
        <f>IF(EXACT(K31,"V"),K$5,0)+IF(EXACT(L31,"V"),L$5,0)+IF(EXACT(M31,"V"),M$5,0)+IF(EXACT(N31,"V"),N$5,0)+IF(EXACT(O31,"V"),O$5,0)+IF(EXACT(P31,"V"),P$5,0)+IF(EXACT(Q31,"V"),Q$5,0)</f>
      </c>
      <c r="K31" s="17"/>
      <c r="L31" s="17"/>
      <c r="M31" s="17"/>
      <c r="N31" s="17"/>
      <c r="O31" s="17"/>
      <c r="P31" s="17"/>
      <c r="Q31" s="17"/>
      <c r="R31" s="15" t="s">
        <v>1538</v>
      </c>
    </row>
    <row r="32">
      <c r="A32" s="6"/>
      <c r="B32" s="8" t="s">
        <v>1542</v>
      </c>
      <c r="C32" s="8"/>
      <c r="D32" s="8" t="s">
        <v>1532</v>
      </c>
      <c r="E32" s="8" t="s">
        <v>1543</v>
      </c>
      <c r="F32" s="8" t="s">
        <v>1544</v>
      </c>
      <c r="G32" s="6"/>
      <c r="H32" s="13"/>
      <c r="I32" s="15" t="str">
        <f>=G32*J32</f>
      </c>
      <c r="J32" s="15" t="str">
        <f>IF(EXACT(K32,"V"),K$5,0)+IF(EXACT(L32,"V"),L$5,0)+IF(EXACT(M32,"V"),M$5,0)+IF(EXACT(N32,"V"),N$5,0)+IF(EXACT(O32,"V"),O$5,0)+IF(EXACT(P32,"V"),P$5,0)+IF(EXACT(Q32,"V"),Q$5,0)</f>
      </c>
      <c r="K32" s="17"/>
      <c r="L32" s="17"/>
      <c r="M32" s="17"/>
      <c r="N32" s="17"/>
      <c r="O32" s="17"/>
      <c r="P32" s="17"/>
      <c r="Q32" s="17"/>
      <c r="R32" s="15" t="s">
        <v>1545</v>
      </c>
    </row>
    <row r="33">
      <c r="A33" s="6"/>
      <c r="B33" s="8" t="s">
        <v>1546</v>
      </c>
      <c r="C33" s="8"/>
      <c r="D33" s="8" t="s">
        <v>1532</v>
      </c>
      <c r="E33" s="8" t="s">
        <v>285</v>
      </c>
      <c r="F33" s="8" t="s">
        <v>1547</v>
      </c>
      <c r="G33" s="6"/>
      <c r="H33" s="13"/>
      <c r="I33" s="15" t="str">
        <f>=G33*J33</f>
      </c>
      <c r="J33" s="15" t="str">
        <f>IF(EXACT(K33,"V"),K$5,0)+IF(EXACT(L33,"V"),L$5,0)+IF(EXACT(M33,"V"),M$5,0)+IF(EXACT(N33,"V"),N$5,0)+IF(EXACT(O33,"V"),O$5,0)+IF(EXACT(P33,"V"),P$5,0)+IF(EXACT(Q33,"V"),Q$5,0)</f>
      </c>
      <c r="K33" s="17"/>
      <c r="L33" s="17"/>
      <c r="M33" s="17"/>
      <c r="N33" s="17"/>
      <c r="O33" s="17"/>
      <c r="P33" s="17"/>
      <c r="Q33" s="17"/>
      <c r="R33" s="15" t="s">
        <v>1548</v>
      </c>
    </row>
    <row r="34">
      <c r="A34" s="7" t="s">
        <v>1549</v>
      </c>
      <c r="B34" s="9" t="s">
        <v>1550</v>
      </c>
      <c r="C34" s="9"/>
      <c r="D34" s="9" t="s">
        <v>1551</v>
      </c>
      <c r="E34" s="9" t="s">
        <v>566</v>
      </c>
      <c r="F34" s="9" t="s">
        <v>1550</v>
      </c>
      <c r="G34" s="7">
        <v>1</v>
      </c>
      <c r="H34" s="14" t="s">
        <v>1552</v>
      </c>
      <c r="I34" s="16" t="str">
        <f>=G34*J34</f>
      </c>
      <c r="J34" s="16" t="str">
        <f>IF(EXACT(K34,"V"),K$5,0)+IF(EXACT(L34,"V"),L$5,0)+IF(EXACT(M34,"V"),M$5,0)+IF(EXACT(N34,"V"),N$5,0)+IF(EXACT(O34,"V"),O$5,0)+IF(EXACT(P34,"V"),P$5,0)+IF(EXACT(Q34,"V"),Q$5,0)</f>
      </c>
      <c r="K34" s="18"/>
      <c r="L34" s="18"/>
      <c r="M34" s="18"/>
      <c r="N34" s="18"/>
      <c r="O34" s="18"/>
      <c r="P34" s="18"/>
      <c r="Q34" s="18"/>
      <c r="R34" s="16" t="s">
        <v>19</v>
      </c>
    </row>
    <row r="35">
      <c r="A35" s="6" t="s">
        <v>1553</v>
      </c>
      <c r="B35" s="8" t="s">
        <v>1554</v>
      </c>
      <c r="C35" s="8"/>
      <c r="D35" s="8" t="s">
        <v>1555</v>
      </c>
      <c r="E35" s="8" t="s">
        <v>473</v>
      </c>
      <c r="F35" s="8" t="s">
        <v>1556</v>
      </c>
      <c r="G35" s="6">
        <v>1</v>
      </c>
      <c r="H35" s="13" t="s">
        <v>1557</v>
      </c>
      <c r="I35" s="15" t="str">
        <f>=G35*J35</f>
      </c>
      <c r="J35" s="15" t="str">
        <f>IF(EXACT(K35,"V"),K$5,0)+IF(EXACT(L35,"V"),L$5,0)+IF(EXACT(M35,"V"),M$5,0)+IF(EXACT(N35,"V"),N$5,0)+IF(EXACT(O35,"V"),O$5,0)+IF(EXACT(P35,"V"),P$5,0)+IF(EXACT(Q35,"V"),Q$5,0)</f>
      </c>
      <c r="K35" s="17"/>
      <c r="L35" s="17"/>
      <c r="M35" s="17"/>
      <c r="N35" s="17"/>
      <c r="O35" s="17"/>
      <c r="P35" s="17"/>
      <c r="Q35" s="17"/>
      <c r="R35" s="15" t="s">
        <v>1558</v>
      </c>
    </row>
    <row r="36">
      <c r="A36" s="6"/>
      <c r="B36" s="8" t="s">
        <v>1559</v>
      </c>
      <c r="C36" s="8"/>
      <c r="D36" s="8" t="s">
        <v>1555</v>
      </c>
      <c r="E36" s="8" t="s">
        <v>1560</v>
      </c>
      <c r="F36" s="8" t="s">
        <v>1561</v>
      </c>
      <c r="G36" s="6"/>
      <c r="H36" s="13"/>
      <c r="I36" s="15" t="str">
        <f>=G36*J36</f>
      </c>
      <c r="J36" s="15" t="str">
        <f>IF(EXACT(K36,"V"),K$5,0)+IF(EXACT(L36,"V"),L$5,0)+IF(EXACT(M36,"V"),M$5,0)+IF(EXACT(N36,"V"),N$5,0)+IF(EXACT(O36,"V"),O$5,0)+IF(EXACT(P36,"V"),P$5,0)+IF(EXACT(Q36,"V"),Q$5,0)</f>
      </c>
      <c r="K36" s="17"/>
      <c r="L36" s="17"/>
      <c r="M36" s="17"/>
      <c r="N36" s="17"/>
      <c r="O36" s="17"/>
      <c r="P36" s="17"/>
      <c r="Q36" s="17"/>
      <c r="R36" s="15" t="s">
        <v>1562</v>
      </c>
    </row>
    <row r="37">
      <c r="A37" s="7" t="s">
        <v>1563</v>
      </c>
      <c r="B37" s="9" t="s">
        <v>1564</v>
      </c>
      <c r="C37" s="9"/>
      <c r="D37" s="9" t="s">
        <v>1565</v>
      </c>
      <c r="E37" s="9" t="s">
        <v>566</v>
      </c>
      <c r="F37" s="9" t="s">
        <v>1566</v>
      </c>
      <c r="G37" s="7">
        <v>1</v>
      </c>
      <c r="H37" s="14" t="s">
        <v>1567</v>
      </c>
      <c r="I37" s="16" t="str">
        <f>=G37*J37</f>
      </c>
      <c r="J37" s="16" t="str">
        <f>IF(EXACT(K37,"V"),K$5,0)+IF(EXACT(L37,"V"),L$5,0)+IF(EXACT(M37,"V"),M$5,0)+IF(EXACT(N37,"V"),N$5,0)+IF(EXACT(O37,"V"),O$5,0)+IF(EXACT(P37,"V"),P$5,0)+IF(EXACT(Q37,"V"),Q$5,0)</f>
      </c>
      <c r="K37" s="18"/>
      <c r="L37" s="18"/>
      <c r="M37" s="18"/>
      <c r="N37" s="18"/>
      <c r="O37" s="18"/>
      <c r="P37" s="18"/>
      <c r="Q37" s="18"/>
      <c r="R37" s="16" t="s">
        <v>1568</v>
      </c>
    </row>
    <row r="38">
      <c r="A38" s="7"/>
      <c r="B38" s="9" t="s">
        <v>1569</v>
      </c>
      <c r="C38" s="9"/>
      <c r="D38" s="9" t="s">
        <v>1565</v>
      </c>
      <c r="E38" s="9" t="s">
        <v>572</v>
      </c>
      <c r="F38" s="9" t="s">
        <v>1570</v>
      </c>
      <c r="G38" s="7"/>
      <c r="H38" s="14"/>
      <c r="I38" s="16" t="str">
        <f>=G38*J38</f>
      </c>
      <c r="J38" s="16" t="str">
        <f>IF(EXACT(K38,"V"),K$5,0)+IF(EXACT(L38,"V"),L$5,0)+IF(EXACT(M38,"V"),M$5,0)+IF(EXACT(N38,"V"),N$5,0)+IF(EXACT(O38,"V"),O$5,0)+IF(EXACT(P38,"V"),P$5,0)+IF(EXACT(Q38,"V"),Q$5,0)</f>
      </c>
      <c r="K38" s="18"/>
      <c r="L38" s="18"/>
      <c r="M38" s="18"/>
      <c r="N38" s="18"/>
      <c r="O38" s="18"/>
      <c r="P38" s="18"/>
      <c r="Q38" s="18"/>
      <c r="R38" s="16" t="s">
        <v>1571</v>
      </c>
    </row>
    <row r="39">
      <c r="A39" s="7"/>
      <c r="B39" s="9" t="s">
        <v>1572</v>
      </c>
      <c r="C39" s="9"/>
      <c r="D39" s="9" t="s">
        <v>1565</v>
      </c>
      <c r="E39" s="9" t="s">
        <v>529</v>
      </c>
      <c r="F39" s="9" t="s">
        <v>1573</v>
      </c>
      <c r="G39" s="7"/>
      <c r="H39" s="14"/>
      <c r="I39" s="16" t="str">
        <f>=G39*J39</f>
      </c>
      <c r="J39" s="16" t="str">
        <f>IF(EXACT(K39,"V"),K$5,0)+IF(EXACT(L39,"V"),L$5,0)+IF(EXACT(M39,"V"),M$5,0)+IF(EXACT(N39,"V"),N$5,0)+IF(EXACT(O39,"V"),O$5,0)+IF(EXACT(P39,"V"),P$5,0)+IF(EXACT(Q39,"V"),Q$5,0)</f>
      </c>
      <c r="K39" s="18"/>
      <c r="L39" s="18"/>
      <c r="M39" s="18"/>
      <c r="N39" s="18"/>
      <c r="O39" s="18"/>
      <c r="P39" s="18"/>
      <c r="Q39" s="18"/>
      <c r="R39" s="16" t="s">
        <v>1574</v>
      </c>
    </row>
    <row r="40">
      <c r="A40" s="6" t="s">
        <v>1575</v>
      </c>
      <c r="B40" s="8" t="s">
        <v>1576</v>
      </c>
      <c r="C40" s="8"/>
      <c r="D40" s="8" t="s">
        <v>1577</v>
      </c>
      <c r="E40" s="8" t="s">
        <v>473</v>
      </c>
      <c r="F40" s="8" t="s">
        <v>1578</v>
      </c>
      <c r="G40" s="6">
        <v>1</v>
      </c>
      <c r="H40" s="13" t="s">
        <v>1579</v>
      </c>
      <c r="I40" s="15" t="str">
        <f>=G40*J40</f>
      </c>
      <c r="J40" s="15" t="str">
        <f>IF(EXACT(K40,"V"),K$5,0)+IF(EXACT(L40,"V"),L$5,0)+IF(EXACT(M40,"V"),M$5,0)+IF(EXACT(N40,"V"),N$5,0)+IF(EXACT(O40,"V"),O$5,0)+IF(EXACT(P40,"V"),P$5,0)+IF(EXACT(Q40,"V"),Q$5,0)</f>
      </c>
      <c r="K40" s="17"/>
      <c r="L40" s="17"/>
      <c r="M40" s="17"/>
      <c r="N40" s="17"/>
      <c r="O40" s="17"/>
      <c r="P40" s="17"/>
      <c r="Q40" s="17"/>
      <c r="R40" s="15" t="s">
        <v>1580</v>
      </c>
    </row>
    <row r="41">
      <c r="A41" s="6"/>
      <c r="B41" s="8" t="s">
        <v>1581</v>
      </c>
      <c r="C41" s="8"/>
      <c r="D41" s="8" t="s">
        <v>1582</v>
      </c>
      <c r="E41" s="8" t="s">
        <v>478</v>
      </c>
      <c r="F41" s="8" t="s">
        <v>1583</v>
      </c>
      <c r="G41" s="6"/>
      <c r="H41" s="13"/>
      <c r="I41" s="15" t="str">
        <f>=G41*J41</f>
      </c>
      <c r="J41" s="15" t="str">
        <f>IF(EXACT(K41,"V"),K$5,0)+IF(EXACT(L41,"V"),L$5,0)+IF(EXACT(M41,"V"),M$5,0)+IF(EXACT(N41,"V"),N$5,0)+IF(EXACT(O41,"V"),O$5,0)+IF(EXACT(P41,"V"),P$5,0)+IF(EXACT(Q41,"V"),Q$5,0)</f>
      </c>
      <c r="K41" s="17"/>
      <c r="L41" s="17"/>
      <c r="M41" s="17"/>
      <c r="N41" s="17"/>
      <c r="O41" s="17"/>
      <c r="P41" s="17"/>
      <c r="Q41" s="17"/>
      <c r="R41" s="15" t="s">
        <v>1584</v>
      </c>
    </row>
    <row r="42">
      <c r="A42" s="6"/>
      <c r="B42" s="8" t="s">
        <v>1585</v>
      </c>
      <c r="C42" s="8"/>
      <c r="D42" s="8" t="s">
        <v>1577</v>
      </c>
      <c r="E42" s="8" t="s">
        <v>529</v>
      </c>
      <c r="F42" s="8" t="s">
        <v>1586</v>
      </c>
      <c r="G42" s="6"/>
      <c r="H42" s="13"/>
      <c r="I42" s="15" t="str">
        <f>=G42*J42</f>
      </c>
      <c r="J42" s="15" t="str">
        <f>IF(EXACT(K42,"V"),K$5,0)+IF(EXACT(L42,"V"),L$5,0)+IF(EXACT(M42,"V"),M$5,0)+IF(EXACT(N42,"V"),N$5,0)+IF(EXACT(O42,"V"),O$5,0)+IF(EXACT(P42,"V"),P$5,0)+IF(EXACT(Q42,"V"),Q$5,0)</f>
      </c>
      <c r="K42" s="17"/>
      <c r="L42" s="17"/>
      <c r="M42" s="17"/>
      <c r="N42" s="17"/>
      <c r="O42" s="17"/>
      <c r="P42" s="17"/>
      <c r="Q42" s="17"/>
      <c r="R42" s="15" t="s">
        <v>19</v>
      </c>
    </row>
    <row r="43">
      <c r="A43" s="7" t="s">
        <v>1587</v>
      </c>
      <c r="B43" s="9" t="s">
        <v>1588</v>
      </c>
      <c r="C43" s="9"/>
      <c r="D43" s="9" t="s">
        <v>1589</v>
      </c>
      <c r="E43" s="9" t="s">
        <v>566</v>
      </c>
      <c r="F43" s="9" t="s">
        <v>1590</v>
      </c>
      <c r="G43" s="7">
        <v>1</v>
      </c>
      <c r="H43" s="14" t="s">
        <v>1591</v>
      </c>
      <c r="I43" s="16" t="str">
        <f>=G43*J43</f>
      </c>
      <c r="J43" s="16" t="str">
        <f>IF(EXACT(K43,"V"),K$5,0)+IF(EXACT(L43,"V"),L$5,0)+IF(EXACT(M43,"V"),M$5,0)+IF(EXACT(N43,"V"),N$5,0)+IF(EXACT(O43,"V"),O$5,0)+IF(EXACT(P43,"V"),P$5,0)+IF(EXACT(Q43,"V"),Q$5,0)</f>
      </c>
      <c r="K43" s="18"/>
      <c r="L43" s="18"/>
      <c r="M43" s="18"/>
      <c r="N43" s="18"/>
      <c r="O43" s="18"/>
      <c r="P43" s="18"/>
      <c r="Q43" s="18"/>
      <c r="R43" s="16" t="s">
        <v>1592</v>
      </c>
    </row>
    <row r="44">
      <c r="A44" s="7"/>
      <c r="B44" s="9" t="s">
        <v>1593</v>
      </c>
      <c r="C44" s="9"/>
      <c r="D44" s="9" t="s">
        <v>1589</v>
      </c>
      <c r="E44" s="9" t="s">
        <v>558</v>
      </c>
      <c r="F44" s="9" t="s">
        <v>1594</v>
      </c>
      <c r="G44" s="7"/>
      <c r="H44" s="14"/>
      <c r="I44" s="16" t="str">
        <f>=G44*J44</f>
      </c>
      <c r="J44" s="16" t="str">
        <f>IF(EXACT(K44,"V"),K$5,0)+IF(EXACT(L44,"V"),L$5,0)+IF(EXACT(M44,"V"),M$5,0)+IF(EXACT(N44,"V"),N$5,0)+IF(EXACT(O44,"V"),O$5,0)+IF(EXACT(P44,"V"),P$5,0)+IF(EXACT(Q44,"V"),Q$5,0)</f>
      </c>
      <c r="K44" s="18"/>
      <c r="L44" s="18"/>
      <c r="M44" s="18"/>
      <c r="N44" s="18"/>
      <c r="O44" s="18"/>
      <c r="P44" s="18"/>
      <c r="Q44" s="18"/>
      <c r="R44" s="16" t="s">
        <v>1595</v>
      </c>
    </row>
    <row r="45">
      <c r="A45" s="6" t="s">
        <v>1596</v>
      </c>
      <c r="B45" s="8" t="s">
        <v>1597</v>
      </c>
      <c r="C45" s="8"/>
      <c r="D45" s="8" t="s">
        <v>1598</v>
      </c>
      <c r="E45" s="8" t="s">
        <v>473</v>
      </c>
      <c r="F45" s="8" t="s">
        <v>1599</v>
      </c>
      <c r="G45" s="6">
        <v>1</v>
      </c>
      <c r="H45" s="13" t="s">
        <v>1600</v>
      </c>
      <c r="I45" s="15" t="str">
        <f>=G45*J45</f>
      </c>
      <c r="J45" s="15" t="str">
        <f>IF(EXACT(K45,"V"),K$5,0)+IF(EXACT(L45,"V"),L$5,0)+IF(EXACT(M45,"V"),M$5,0)+IF(EXACT(N45,"V"),N$5,0)+IF(EXACT(O45,"V"),O$5,0)+IF(EXACT(P45,"V"),P$5,0)+IF(EXACT(Q45,"V"),Q$5,0)</f>
      </c>
      <c r="K45" s="17"/>
      <c r="L45" s="17"/>
      <c r="M45" s="17"/>
      <c r="N45" s="17"/>
      <c r="O45" s="17"/>
      <c r="P45" s="17"/>
      <c r="Q45" s="17"/>
      <c r="R45" s="15" t="s">
        <v>1601</v>
      </c>
    </row>
    <row r="46">
      <c r="A46" s="6"/>
      <c r="B46" s="8" t="s">
        <v>1602</v>
      </c>
      <c r="C46" s="8"/>
      <c r="D46" s="8" t="s">
        <v>1598</v>
      </c>
      <c r="E46" s="8" t="s">
        <v>558</v>
      </c>
      <c r="F46" s="8" t="s">
        <v>1603</v>
      </c>
      <c r="G46" s="6"/>
      <c r="H46" s="13"/>
      <c r="I46" s="15" t="str">
        <f>=G46*J46</f>
      </c>
      <c r="J46" s="15" t="str">
        <f>IF(EXACT(K46,"V"),K$5,0)+IF(EXACT(L46,"V"),L$5,0)+IF(EXACT(M46,"V"),M$5,0)+IF(EXACT(N46,"V"),N$5,0)+IF(EXACT(O46,"V"),O$5,0)+IF(EXACT(P46,"V"),P$5,0)+IF(EXACT(Q46,"V"),Q$5,0)</f>
      </c>
      <c r="K46" s="17"/>
      <c r="L46" s="17"/>
      <c r="M46" s="17"/>
      <c r="N46" s="17"/>
      <c r="O46" s="17"/>
      <c r="P46" s="17"/>
      <c r="Q46" s="17"/>
      <c r="R46" s="15" t="s">
        <v>1601</v>
      </c>
    </row>
    <row r="47">
      <c r="A47" s="6"/>
      <c r="B47" s="8" t="s">
        <v>1604</v>
      </c>
      <c r="C47" s="8"/>
      <c r="D47" s="8" t="s">
        <v>1598</v>
      </c>
      <c r="E47" s="8" t="s">
        <v>529</v>
      </c>
      <c r="F47" s="8" t="s">
        <v>1605</v>
      </c>
      <c r="G47" s="6"/>
      <c r="H47" s="13"/>
      <c r="I47" s="15" t="str">
        <f>=G47*J47</f>
      </c>
      <c r="J47" s="15" t="str">
        <f>IF(EXACT(K47,"V"),K$5,0)+IF(EXACT(L47,"V"),L$5,0)+IF(EXACT(M47,"V"),M$5,0)+IF(EXACT(N47,"V"),N$5,0)+IF(EXACT(O47,"V"),O$5,0)+IF(EXACT(P47,"V"),P$5,0)+IF(EXACT(Q47,"V"),Q$5,0)</f>
      </c>
      <c r="K47" s="17"/>
      <c r="L47" s="17"/>
      <c r="M47" s="17"/>
      <c r="N47" s="17"/>
      <c r="O47" s="17"/>
      <c r="P47" s="17"/>
      <c r="Q47" s="17"/>
      <c r="R47" s="15" t="s">
        <v>1601</v>
      </c>
    </row>
    <row r="48">
      <c r="A48" s="7" t="s">
        <v>1606</v>
      </c>
      <c r="B48" s="9" t="s">
        <v>1607</v>
      </c>
      <c r="C48" s="9"/>
      <c r="D48" s="9" t="s">
        <v>1608</v>
      </c>
      <c r="E48" s="9" t="s">
        <v>1609</v>
      </c>
      <c r="F48" s="9" t="s">
        <v>1610</v>
      </c>
      <c r="G48" s="7">
        <v>1</v>
      </c>
      <c r="H48" s="14" t="s">
        <v>1611</v>
      </c>
      <c r="I48" s="16" t="str">
        <f>=G48*J48</f>
      </c>
      <c r="J48" s="16" t="str">
        <f>IF(EXACT(K48,"V"),K$5,0)+IF(EXACT(L48,"V"),L$5,0)+IF(EXACT(M48,"V"),M$5,0)+IF(EXACT(N48,"V"),N$5,0)+IF(EXACT(O48,"V"),O$5,0)+IF(EXACT(P48,"V"),P$5,0)+IF(EXACT(Q48,"V"),Q$5,0)</f>
      </c>
      <c r="K48" s="18"/>
      <c r="L48" s="18"/>
      <c r="M48" s="18"/>
      <c r="N48" s="18"/>
      <c r="O48" s="18"/>
      <c r="P48" s="18"/>
      <c r="Q48" s="18"/>
      <c r="R48" s="16" t="s">
        <v>19</v>
      </c>
    </row>
    <row r="49">
      <c r="A49" s="7"/>
      <c r="B49" s="9" t="s">
        <v>1612</v>
      </c>
      <c r="C49" s="9"/>
      <c r="D49" s="9" t="s">
        <v>1608</v>
      </c>
      <c r="E49" s="9" t="s">
        <v>1613</v>
      </c>
      <c r="F49" s="9" t="s">
        <v>1614</v>
      </c>
      <c r="G49" s="7"/>
      <c r="H49" s="14"/>
      <c r="I49" s="16" t="str">
        <f>=G49*J49</f>
      </c>
      <c r="J49" s="16" t="str">
        <f>IF(EXACT(K49,"V"),K$5,0)+IF(EXACT(L49,"V"),L$5,0)+IF(EXACT(M49,"V"),M$5,0)+IF(EXACT(N49,"V"),N$5,0)+IF(EXACT(O49,"V"),O$5,0)+IF(EXACT(P49,"V"),P$5,0)+IF(EXACT(Q49,"V"),Q$5,0)</f>
      </c>
      <c r="K49" s="18"/>
      <c r="L49" s="18"/>
      <c r="M49" s="18"/>
      <c r="N49" s="18"/>
      <c r="O49" s="18"/>
      <c r="P49" s="18"/>
      <c r="Q49" s="18"/>
      <c r="R49" s="16" t="s">
        <v>19</v>
      </c>
    </row>
    <row r="50">
      <c r="A50" s="7"/>
      <c r="B50" s="9" t="s">
        <v>1615</v>
      </c>
      <c r="C50" s="9"/>
      <c r="D50" s="9" t="s">
        <v>1608</v>
      </c>
      <c r="E50" s="9" t="s">
        <v>1616</v>
      </c>
      <c r="F50" s="9" t="s">
        <v>1617</v>
      </c>
      <c r="G50" s="7"/>
      <c r="H50" s="14"/>
      <c r="I50" s="16" t="str">
        <f>=G50*J50</f>
      </c>
      <c r="J50" s="16" t="str">
        <f>IF(EXACT(K50,"V"),K$5,0)+IF(EXACT(L50,"V"),L$5,0)+IF(EXACT(M50,"V"),M$5,0)+IF(EXACT(N50,"V"),N$5,0)+IF(EXACT(O50,"V"),O$5,0)+IF(EXACT(P50,"V"),P$5,0)+IF(EXACT(Q50,"V"),Q$5,0)</f>
      </c>
      <c r="K50" s="18"/>
      <c r="L50" s="18"/>
      <c r="M50" s="18"/>
      <c r="N50" s="18"/>
      <c r="O50" s="18"/>
      <c r="P50" s="18"/>
      <c r="Q50" s="18"/>
      <c r="R50" s="16" t="s">
        <v>19</v>
      </c>
    </row>
    <row r="51">
      <c r="A51" s="6" t="s">
        <v>1618</v>
      </c>
      <c r="B51" s="8" t="s">
        <v>1619</v>
      </c>
      <c r="C51" s="8"/>
      <c r="D51" s="8" t="s">
        <v>1620</v>
      </c>
      <c r="E51" s="8" t="s">
        <v>1543</v>
      </c>
      <c r="F51" s="8" t="s">
        <v>1621</v>
      </c>
      <c r="G51" s="6">
        <v>3</v>
      </c>
      <c r="H51" s="13" t="s">
        <v>1622</v>
      </c>
      <c r="I51" s="15" t="str">
        <f>=G51*J51</f>
      </c>
      <c r="J51" s="15" t="str">
        <f>IF(EXACT(K51,"V"),K$5,0)+IF(EXACT(L51,"V"),L$5,0)+IF(EXACT(M51,"V"),M$5,0)+IF(EXACT(N51,"V"),N$5,0)+IF(EXACT(O51,"V"),O$5,0)+IF(EXACT(P51,"V"),P$5,0)+IF(EXACT(Q51,"V"),Q$5,0)</f>
      </c>
      <c r="K51" s="17"/>
      <c r="L51" s="17"/>
      <c r="M51" s="17"/>
      <c r="N51" s="17"/>
      <c r="O51" s="17"/>
      <c r="P51" s="17"/>
      <c r="Q51" s="17"/>
      <c r="R51" s="15" t="s">
        <v>1623</v>
      </c>
    </row>
    <row r="52">
      <c r="A52" s="6"/>
      <c r="B52" s="8" t="s">
        <v>1624</v>
      </c>
      <c r="C52" s="8"/>
      <c r="D52" s="8" t="s">
        <v>1625</v>
      </c>
      <c r="E52" s="8" t="s">
        <v>473</v>
      </c>
      <c r="F52" s="8" t="s">
        <v>1626</v>
      </c>
      <c r="G52" s="6"/>
      <c r="H52" s="13"/>
      <c r="I52" s="15" t="str">
        <f>=G52*J52</f>
      </c>
      <c r="J52" s="15" t="str">
        <f>IF(EXACT(K52,"V"),K$5,0)+IF(EXACT(L52,"V"),L$5,0)+IF(EXACT(M52,"V"),M$5,0)+IF(EXACT(N52,"V"),N$5,0)+IF(EXACT(O52,"V"),O$5,0)+IF(EXACT(P52,"V"),P$5,0)+IF(EXACT(Q52,"V"),Q$5,0)</f>
      </c>
      <c r="K52" s="17"/>
      <c r="L52" s="17"/>
      <c r="M52" s="17"/>
      <c r="N52" s="17"/>
      <c r="O52" s="17"/>
      <c r="P52" s="17"/>
      <c r="Q52" s="17"/>
      <c r="R52" s="15" t="s">
        <v>1627</v>
      </c>
    </row>
    <row r="53">
      <c r="A53" s="6"/>
      <c r="B53" s="8" t="s">
        <v>1628</v>
      </c>
      <c r="C53" s="8"/>
      <c r="D53" s="8" t="s">
        <v>1620</v>
      </c>
      <c r="E53" s="8" t="s">
        <v>572</v>
      </c>
      <c r="F53" s="8" t="s">
        <v>1629</v>
      </c>
      <c r="G53" s="6"/>
      <c r="H53" s="13"/>
      <c r="I53" s="15" t="str">
        <f>=G53*J53</f>
      </c>
      <c r="J53" s="15" t="str">
        <f>IF(EXACT(K53,"V"),K$5,0)+IF(EXACT(L53,"V"),L$5,0)+IF(EXACT(M53,"V"),M$5,0)+IF(EXACT(N53,"V"),N$5,0)+IF(EXACT(O53,"V"),O$5,0)+IF(EXACT(P53,"V"),P$5,0)+IF(EXACT(Q53,"V"),Q$5,0)</f>
      </c>
      <c r="K53" s="17"/>
      <c r="L53" s="17"/>
      <c r="M53" s="17"/>
      <c r="N53" s="17"/>
      <c r="O53" s="17"/>
      <c r="P53" s="17"/>
      <c r="Q53" s="17"/>
      <c r="R53" s="15" t="s">
        <v>1630</v>
      </c>
    </row>
    <row r="54">
      <c r="A54" s="7" t="s">
        <v>1631</v>
      </c>
      <c r="B54" s="9" t="s">
        <v>1632</v>
      </c>
      <c r="C54" s="9"/>
      <c r="D54" s="9" t="s">
        <v>1633</v>
      </c>
      <c r="E54" s="9" t="s">
        <v>566</v>
      </c>
      <c r="F54" s="9" t="s">
        <v>1634</v>
      </c>
      <c r="G54" s="7">
        <v>1</v>
      </c>
      <c r="H54" s="14" t="s">
        <v>1635</v>
      </c>
      <c r="I54" s="16" t="str">
        <f>=G54*J54</f>
      </c>
      <c r="J54" s="16" t="str">
        <f>IF(EXACT(K54,"V"),K$5,0)+IF(EXACT(L54,"V"),L$5,0)+IF(EXACT(M54,"V"),M$5,0)+IF(EXACT(N54,"V"),N$5,0)+IF(EXACT(O54,"V"),O$5,0)+IF(EXACT(P54,"V"),P$5,0)+IF(EXACT(Q54,"V"),Q$5,0)</f>
      </c>
      <c r="K54" s="18"/>
      <c r="L54" s="18"/>
      <c r="M54" s="18"/>
      <c r="N54" s="18"/>
      <c r="O54" s="18"/>
      <c r="P54" s="18"/>
      <c r="Q54" s="18"/>
      <c r="R54" s="16" t="s">
        <v>1636</v>
      </c>
    </row>
    <row r="55">
      <c r="A55" s="7"/>
      <c r="B55" s="9" t="s">
        <v>1637</v>
      </c>
      <c r="C55" s="9"/>
      <c r="D55" s="9" t="s">
        <v>1633</v>
      </c>
      <c r="E55" s="9" t="s">
        <v>572</v>
      </c>
      <c r="F55" s="9" t="s">
        <v>1638</v>
      </c>
      <c r="G55" s="7"/>
      <c r="H55" s="14"/>
      <c r="I55" s="16" t="str">
        <f>=G55*J55</f>
      </c>
      <c r="J55" s="16" t="str">
        <f>IF(EXACT(K55,"V"),K$5,0)+IF(EXACT(L55,"V"),L$5,0)+IF(EXACT(M55,"V"),M$5,0)+IF(EXACT(N55,"V"),N$5,0)+IF(EXACT(O55,"V"),O$5,0)+IF(EXACT(P55,"V"),P$5,0)+IF(EXACT(Q55,"V"),Q$5,0)</f>
      </c>
      <c r="K55" s="18"/>
      <c r="L55" s="18"/>
      <c r="M55" s="18"/>
      <c r="N55" s="18"/>
      <c r="O55" s="18"/>
      <c r="P55" s="18"/>
      <c r="Q55" s="18"/>
      <c r="R55" s="16" t="s">
        <v>1639</v>
      </c>
    </row>
    <row r="56">
      <c r="A56" s="7"/>
      <c r="B56" s="9" t="s">
        <v>1640</v>
      </c>
      <c r="C56" s="9"/>
      <c r="D56" s="9" t="s">
        <v>1633</v>
      </c>
      <c r="E56" s="9" t="s">
        <v>1543</v>
      </c>
      <c r="F56" s="9" t="s">
        <v>1641</v>
      </c>
      <c r="G56" s="7"/>
      <c r="H56" s="14"/>
      <c r="I56" s="16" t="str">
        <f>=G56*J56</f>
      </c>
      <c r="J56" s="16" t="str">
        <f>IF(EXACT(K56,"V"),K$5,0)+IF(EXACT(L56,"V"),L$5,0)+IF(EXACT(M56,"V"),M$5,0)+IF(EXACT(N56,"V"),N$5,0)+IF(EXACT(O56,"V"),O$5,0)+IF(EXACT(P56,"V"),P$5,0)+IF(EXACT(Q56,"V"),Q$5,0)</f>
      </c>
      <c r="K56" s="18"/>
      <c r="L56" s="18"/>
      <c r="M56" s="18"/>
      <c r="N56" s="18"/>
      <c r="O56" s="18"/>
      <c r="P56" s="18"/>
      <c r="Q56" s="18"/>
      <c r="R56" s="16" t="s">
        <v>1642</v>
      </c>
    </row>
    <row r="57">
      <c r="A57" s="6" t="s">
        <v>1643</v>
      </c>
      <c r="B57" s="8" t="s">
        <v>1644</v>
      </c>
      <c r="C57" s="8"/>
      <c r="D57" s="8" t="s">
        <v>1645</v>
      </c>
      <c r="E57" s="8" t="s">
        <v>1543</v>
      </c>
      <c r="F57" s="8" t="s">
        <v>1646</v>
      </c>
      <c r="G57" s="6">
        <v>1</v>
      </c>
      <c r="H57" s="13" t="s">
        <v>1647</v>
      </c>
      <c r="I57" s="15" t="str">
        <f>=G57*J57</f>
      </c>
      <c r="J57" s="15" t="str">
        <f>IF(EXACT(K57,"V"),K$5,0)+IF(EXACT(L57,"V"),L$5,0)+IF(EXACT(M57,"V"),M$5,0)+IF(EXACT(N57,"V"),N$5,0)+IF(EXACT(O57,"V"),O$5,0)+IF(EXACT(P57,"V"),P$5,0)+IF(EXACT(Q57,"V"),Q$5,0)</f>
      </c>
      <c r="K57" s="17"/>
      <c r="L57" s="17"/>
      <c r="M57" s="17"/>
      <c r="N57" s="17"/>
      <c r="O57" s="17"/>
      <c r="P57" s="17"/>
      <c r="Q57" s="17"/>
      <c r="R57" s="15" t="s">
        <v>1648</v>
      </c>
    </row>
    <row r="58">
      <c r="A58" s="6"/>
      <c r="B58" s="8" t="s">
        <v>1649</v>
      </c>
      <c r="C58" s="8"/>
      <c r="D58" s="8" t="s">
        <v>1650</v>
      </c>
      <c r="E58" s="8" t="s">
        <v>566</v>
      </c>
      <c r="F58" s="8" t="s">
        <v>1651</v>
      </c>
      <c r="G58" s="6"/>
      <c r="H58" s="13"/>
      <c r="I58" s="15" t="str">
        <f>=G58*J58</f>
      </c>
      <c r="J58" s="15" t="str">
        <f>IF(EXACT(K58,"V"),K$5,0)+IF(EXACT(L58,"V"),L$5,0)+IF(EXACT(M58,"V"),M$5,0)+IF(EXACT(N58,"V"),N$5,0)+IF(EXACT(O58,"V"),O$5,0)+IF(EXACT(P58,"V"),P$5,0)+IF(EXACT(Q58,"V"),Q$5,0)</f>
      </c>
      <c r="K58" s="17"/>
      <c r="L58" s="17"/>
      <c r="M58" s="17"/>
      <c r="N58" s="17"/>
      <c r="O58" s="17"/>
      <c r="P58" s="17"/>
      <c r="Q58" s="17"/>
      <c r="R58" s="15" t="s">
        <v>1636</v>
      </c>
    </row>
    <row r="59">
      <c r="A59" s="6"/>
      <c r="B59" s="8" t="s">
        <v>1652</v>
      </c>
      <c r="C59" s="8"/>
      <c r="D59" s="8" t="s">
        <v>1650</v>
      </c>
      <c r="E59" s="8" t="s">
        <v>572</v>
      </c>
      <c r="F59" s="8" t="s">
        <v>1653</v>
      </c>
      <c r="G59" s="6"/>
      <c r="H59" s="13"/>
      <c r="I59" s="15" t="str">
        <f>=G59*J59</f>
      </c>
      <c r="J59" s="15" t="str">
        <f>IF(EXACT(K59,"V"),K$5,0)+IF(EXACT(L59,"V"),L$5,0)+IF(EXACT(M59,"V"),M$5,0)+IF(EXACT(N59,"V"),N$5,0)+IF(EXACT(O59,"V"),O$5,0)+IF(EXACT(P59,"V"),P$5,0)+IF(EXACT(Q59,"V"),Q$5,0)</f>
      </c>
      <c r="K59" s="17"/>
      <c r="L59" s="17"/>
      <c r="M59" s="17"/>
      <c r="N59" s="17"/>
      <c r="O59" s="17"/>
      <c r="P59" s="17"/>
      <c r="Q59" s="17"/>
      <c r="R59" s="15" t="s">
        <v>1639</v>
      </c>
    </row>
    <row r="60">
      <c r="A60" s="7" t="s">
        <v>1654</v>
      </c>
      <c r="B60" s="9" t="s">
        <v>1655</v>
      </c>
      <c r="C60" s="9"/>
      <c r="D60" s="9" t="s">
        <v>1656</v>
      </c>
      <c r="E60" s="9" t="s">
        <v>1543</v>
      </c>
      <c r="F60" s="9" t="s">
        <v>1657</v>
      </c>
      <c r="G60" s="7">
        <v>1</v>
      </c>
      <c r="H60" s="14" t="s">
        <v>1658</v>
      </c>
      <c r="I60" s="16" t="str">
        <f>=G60*J60</f>
      </c>
      <c r="J60" s="16" t="str">
        <f>IF(EXACT(K60,"V"),K$5,0)+IF(EXACT(L60,"V"),L$5,0)+IF(EXACT(M60,"V"),M$5,0)+IF(EXACT(N60,"V"),N$5,0)+IF(EXACT(O60,"V"),O$5,0)+IF(EXACT(P60,"V"),P$5,0)+IF(EXACT(Q60,"V"),Q$5,0)</f>
      </c>
      <c r="K60" s="18"/>
      <c r="L60" s="18"/>
      <c r="M60" s="18"/>
      <c r="N60" s="18"/>
      <c r="O60" s="18"/>
      <c r="P60" s="18"/>
      <c r="Q60" s="18"/>
      <c r="R60" s="16" t="s">
        <v>1659</v>
      </c>
    </row>
    <row r="61">
      <c r="A61" s="7"/>
      <c r="B61" s="9" t="s">
        <v>1660</v>
      </c>
      <c r="C61" s="9"/>
      <c r="D61" s="9" t="s">
        <v>1661</v>
      </c>
      <c r="E61" s="9" t="s">
        <v>572</v>
      </c>
      <c r="F61" s="9" t="s">
        <v>1662</v>
      </c>
      <c r="G61" s="7"/>
      <c r="H61" s="14"/>
      <c r="I61" s="16" t="str">
        <f>=G61*J61</f>
      </c>
      <c r="J61" s="16" t="str">
        <f>IF(EXACT(K61,"V"),K$5,0)+IF(EXACT(L61,"V"),L$5,0)+IF(EXACT(M61,"V"),M$5,0)+IF(EXACT(N61,"V"),N$5,0)+IF(EXACT(O61,"V"),O$5,0)+IF(EXACT(P61,"V"),P$5,0)+IF(EXACT(Q61,"V"),Q$5,0)</f>
      </c>
      <c r="K61" s="18"/>
      <c r="L61" s="18"/>
      <c r="M61" s="18"/>
      <c r="N61" s="18"/>
      <c r="O61" s="18"/>
      <c r="P61" s="18"/>
      <c r="Q61" s="18"/>
      <c r="R61" s="16" t="s">
        <v>1663</v>
      </c>
    </row>
    <row r="62">
      <c r="A62" s="7"/>
      <c r="B62" s="9" t="s">
        <v>1664</v>
      </c>
      <c r="C62" s="9"/>
      <c r="D62" s="9" t="s">
        <v>1661</v>
      </c>
      <c r="E62" s="9" t="s">
        <v>285</v>
      </c>
      <c r="F62" s="9" t="s">
        <v>1665</v>
      </c>
      <c r="G62" s="7"/>
      <c r="H62" s="14"/>
      <c r="I62" s="16" t="str">
        <f>=G62*J62</f>
      </c>
      <c r="J62" s="16" t="str">
        <f>IF(EXACT(K62,"V"),K$5,0)+IF(EXACT(L62,"V"),L$5,0)+IF(EXACT(M62,"V"),M$5,0)+IF(EXACT(N62,"V"),N$5,0)+IF(EXACT(O62,"V"),O$5,0)+IF(EXACT(P62,"V"),P$5,0)+IF(EXACT(Q62,"V"),Q$5,0)</f>
      </c>
      <c r="K62" s="18"/>
      <c r="L62" s="18"/>
      <c r="M62" s="18"/>
      <c r="N62" s="18"/>
      <c r="O62" s="18"/>
      <c r="P62" s="18"/>
      <c r="Q62" s="18"/>
      <c r="R62" s="16" t="s">
        <v>1663</v>
      </c>
    </row>
    <row r="63">
      <c r="A63" s="6" t="s">
        <v>1666</v>
      </c>
      <c r="B63" s="8" t="s">
        <v>1667</v>
      </c>
      <c r="C63" s="8"/>
      <c r="D63" s="8" t="s">
        <v>1668</v>
      </c>
      <c r="E63" s="8" t="s">
        <v>572</v>
      </c>
      <c r="F63" s="8" t="s">
        <v>1669</v>
      </c>
      <c r="G63" s="6">
        <v>1</v>
      </c>
      <c r="H63" s="13" t="s">
        <v>1670</v>
      </c>
      <c r="I63" s="15" t="str">
        <f>=G63*J63</f>
      </c>
      <c r="J63" s="15" t="str">
        <f>IF(EXACT(K63,"V"),K$5,0)+IF(EXACT(L63,"V"),L$5,0)+IF(EXACT(M63,"V"),M$5,0)+IF(EXACT(N63,"V"),N$5,0)+IF(EXACT(O63,"V"),O$5,0)+IF(EXACT(P63,"V"),P$5,0)+IF(EXACT(Q63,"V"),Q$5,0)</f>
      </c>
      <c r="K63" s="17"/>
      <c r="L63" s="17"/>
      <c r="M63" s="17"/>
      <c r="N63" s="17"/>
      <c r="O63" s="17"/>
      <c r="P63" s="17"/>
      <c r="Q63" s="17"/>
      <c r="R63" s="15" t="s">
        <v>1671</v>
      </c>
    </row>
    <row r="64">
      <c r="A64" s="7" t="s">
        <v>1672</v>
      </c>
      <c r="B64" s="9" t="s">
        <v>1673</v>
      </c>
      <c r="C64" s="9"/>
      <c r="D64" s="9" t="s">
        <v>1674</v>
      </c>
      <c r="E64" s="9" t="s">
        <v>1543</v>
      </c>
      <c r="F64" s="9" t="s">
        <v>1675</v>
      </c>
      <c r="G64" s="7">
        <v>1</v>
      </c>
      <c r="H64" s="14" t="s">
        <v>1676</v>
      </c>
      <c r="I64" s="16" t="str">
        <f>=G64*J64</f>
      </c>
      <c r="J64" s="16" t="str">
        <f>IF(EXACT(K64,"V"),K$5,0)+IF(EXACT(L64,"V"),L$5,0)+IF(EXACT(M64,"V"),M$5,0)+IF(EXACT(N64,"V"),N$5,0)+IF(EXACT(O64,"V"),O$5,0)+IF(EXACT(P64,"V"),P$5,0)+IF(EXACT(Q64,"V"),Q$5,0)</f>
      </c>
      <c r="K64" s="18"/>
      <c r="L64" s="18"/>
      <c r="M64" s="18"/>
      <c r="N64" s="18"/>
      <c r="O64" s="18"/>
      <c r="P64" s="18"/>
      <c r="Q64" s="18"/>
      <c r="R64" s="16" t="s">
        <v>1677</v>
      </c>
    </row>
    <row r="65">
      <c r="A65" s="7"/>
      <c r="B65" s="9" t="s">
        <v>1678</v>
      </c>
      <c r="C65" s="9"/>
      <c r="D65" s="9" t="s">
        <v>1679</v>
      </c>
      <c r="E65" s="9" t="s">
        <v>558</v>
      </c>
      <c r="F65" s="9" t="s">
        <v>1680</v>
      </c>
      <c r="G65" s="7"/>
      <c r="H65" s="14"/>
      <c r="I65" s="16" t="str">
        <f>=G65*J65</f>
      </c>
      <c r="J65" s="16" t="str">
        <f>IF(EXACT(K65,"V"),K$5,0)+IF(EXACT(L65,"V"),L$5,0)+IF(EXACT(M65,"V"),M$5,0)+IF(EXACT(N65,"V"),N$5,0)+IF(EXACT(O65,"V"),O$5,0)+IF(EXACT(P65,"V"),P$5,0)+IF(EXACT(Q65,"V"),Q$5,0)</f>
      </c>
      <c r="K65" s="18"/>
      <c r="L65" s="18"/>
      <c r="M65" s="18"/>
      <c r="N65" s="18"/>
      <c r="O65" s="18"/>
      <c r="P65" s="18"/>
      <c r="Q65" s="18"/>
      <c r="R65" s="16" t="s">
        <v>1681</v>
      </c>
    </row>
    <row r="66">
      <c r="A66" s="7"/>
      <c r="B66" s="9" t="s">
        <v>1682</v>
      </c>
      <c r="C66" s="9"/>
      <c r="D66" s="9" t="s">
        <v>1679</v>
      </c>
      <c r="E66" s="9" t="s">
        <v>285</v>
      </c>
      <c r="F66" s="9" t="s">
        <v>1683</v>
      </c>
      <c r="G66" s="7"/>
      <c r="H66" s="14"/>
      <c r="I66" s="16" t="str">
        <f>=G66*J66</f>
      </c>
      <c r="J66" s="16" t="str">
        <f>IF(EXACT(K66,"V"),K$5,0)+IF(EXACT(L66,"V"),L$5,0)+IF(EXACT(M66,"V"),M$5,0)+IF(EXACT(N66,"V"),N$5,0)+IF(EXACT(O66,"V"),O$5,0)+IF(EXACT(P66,"V"),P$5,0)+IF(EXACT(Q66,"V"),Q$5,0)</f>
      </c>
      <c r="K66" s="18"/>
      <c r="L66" s="18"/>
      <c r="M66" s="18"/>
      <c r="N66" s="18"/>
      <c r="O66" s="18"/>
      <c r="P66" s="18"/>
      <c r="Q66" s="18"/>
      <c r="R66" s="16" t="s">
        <v>1684</v>
      </c>
    </row>
    <row r="67">
      <c r="A67" s="6" t="s">
        <v>1685</v>
      </c>
      <c r="B67" s="8" t="s">
        <v>1686</v>
      </c>
      <c r="C67" s="8"/>
      <c r="D67" s="8" t="s">
        <v>1687</v>
      </c>
      <c r="E67" s="8" t="s">
        <v>566</v>
      </c>
      <c r="F67" s="8" t="s">
        <v>1688</v>
      </c>
      <c r="G67" s="6">
        <v>1</v>
      </c>
      <c r="H67" s="13" t="s">
        <v>1689</v>
      </c>
      <c r="I67" s="15" t="str">
        <f>=G67*J67</f>
      </c>
      <c r="J67" s="15" t="str">
        <f>IF(EXACT(K67,"V"),K$5,0)+IF(EXACT(L67,"V"),L$5,0)+IF(EXACT(M67,"V"),M$5,0)+IF(EXACT(N67,"V"),N$5,0)+IF(EXACT(O67,"V"),O$5,0)+IF(EXACT(P67,"V"),P$5,0)+IF(EXACT(Q67,"V"),Q$5,0)</f>
      </c>
      <c r="K67" s="17"/>
      <c r="L67" s="17"/>
      <c r="M67" s="17"/>
      <c r="N67" s="17"/>
      <c r="O67" s="17"/>
      <c r="P67" s="17"/>
      <c r="Q67" s="17"/>
      <c r="R67" s="15" t="s">
        <v>1690</v>
      </c>
    </row>
    <row r="68">
      <c r="A68" s="6"/>
      <c r="B68" s="8" t="s">
        <v>1691</v>
      </c>
      <c r="C68" s="8"/>
      <c r="D68" s="8" t="s">
        <v>1687</v>
      </c>
      <c r="E68" s="8" t="s">
        <v>558</v>
      </c>
      <c r="F68" s="8" t="s">
        <v>1692</v>
      </c>
      <c r="G68" s="6"/>
      <c r="H68" s="13"/>
      <c r="I68" s="15" t="str">
        <f>=G68*J68</f>
      </c>
      <c r="J68" s="15" t="str">
        <f>IF(EXACT(K68,"V"),K$5,0)+IF(EXACT(L68,"V"),L$5,0)+IF(EXACT(M68,"V"),M$5,0)+IF(EXACT(N68,"V"),N$5,0)+IF(EXACT(O68,"V"),O$5,0)+IF(EXACT(P68,"V"),P$5,0)+IF(EXACT(Q68,"V"),Q$5,0)</f>
      </c>
      <c r="K68" s="17"/>
      <c r="L68" s="17"/>
      <c r="M68" s="17"/>
      <c r="N68" s="17"/>
      <c r="O68" s="17"/>
      <c r="P68" s="17"/>
      <c r="Q68" s="17"/>
      <c r="R68" s="15" t="s">
        <v>1693</v>
      </c>
    </row>
    <row r="69">
      <c r="A69" s="6"/>
      <c r="B69" s="8" t="s">
        <v>1694</v>
      </c>
      <c r="C69" s="8"/>
      <c r="D69" s="8" t="s">
        <v>1687</v>
      </c>
      <c r="E69" s="8" t="s">
        <v>1543</v>
      </c>
      <c r="F69" s="8" t="s">
        <v>1695</v>
      </c>
      <c r="G69" s="6"/>
      <c r="H69" s="13"/>
      <c r="I69" s="15" t="str">
        <f>=G69*J69</f>
      </c>
      <c r="J69" s="15" t="str">
        <f>IF(EXACT(K69,"V"),K$5,0)+IF(EXACT(L69,"V"),L$5,0)+IF(EXACT(M69,"V"),M$5,0)+IF(EXACT(N69,"V"),N$5,0)+IF(EXACT(O69,"V"),O$5,0)+IF(EXACT(P69,"V"),P$5,0)+IF(EXACT(Q69,"V"),Q$5,0)</f>
      </c>
      <c r="K69" s="17"/>
      <c r="L69" s="17"/>
      <c r="M69" s="17"/>
      <c r="N69" s="17"/>
      <c r="O69" s="17"/>
      <c r="P69" s="17"/>
      <c r="Q69" s="17"/>
      <c r="R69" s="15" t="s">
        <v>1696</v>
      </c>
    </row>
    <row r="70">
      <c r="A70" s="7" t="s">
        <v>1697</v>
      </c>
      <c r="B70" s="9" t="s">
        <v>1698</v>
      </c>
      <c r="C70" s="9"/>
      <c r="D70" s="9" t="s">
        <v>1699</v>
      </c>
      <c r="E70" s="9" t="s">
        <v>482</v>
      </c>
      <c r="F70" s="9" t="s">
        <v>1700</v>
      </c>
      <c r="G70" s="7">
        <v>1</v>
      </c>
      <c r="H70" s="14" t="s">
        <v>1701</v>
      </c>
      <c r="I70" s="16" t="str">
        <f>=G70*J70</f>
      </c>
      <c r="J70" s="16" t="str">
        <f>IF(EXACT(K70,"V"),K$5,0)+IF(EXACT(L70,"V"),L$5,0)+IF(EXACT(M70,"V"),M$5,0)+IF(EXACT(N70,"V"),N$5,0)+IF(EXACT(O70,"V"),O$5,0)+IF(EXACT(P70,"V"),P$5,0)+IF(EXACT(Q70,"V"),Q$5,0)</f>
      </c>
      <c r="K70" s="18"/>
      <c r="L70" s="18"/>
      <c r="M70" s="18"/>
      <c r="N70" s="18"/>
      <c r="O70" s="18"/>
      <c r="P70" s="18"/>
      <c r="Q70" s="18"/>
      <c r="R70" s="16" t="s">
        <v>1702</v>
      </c>
    </row>
    <row r="71">
      <c r="A71" s="7"/>
      <c r="B71" s="9" t="s">
        <v>1703</v>
      </c>
      <c r="C71" s="9"/>
      <c r="D71" s="9" t="s">
        <v>1704</v>
      </c>
      <c r="E71" s="9" t="s">
        <v>1705</v>
      </c>
      <c r="F71" s="9" t="s">
        <v>1706</v>
      </c>
      <c r="G71" s="7"/>
      <c r="H71" s="14"/>
      <c r="I71" s="16" t="str">
        <f>=G71*J71</f>
      </c>
      <c r="J71" s="16" t="str">
        <f>IF(EXACT(K71,"V"),K$5,0)+IF(EXACT(L71,"V"),L$5,0)+IF(EXACT(M71,"V"),M$5,0)+IF(EXACT(N71,"V"),N$5,0)+IF(EXACT(O71,"V"),O$5,0)+IF(EXACT(P71,"V"),P$5,0)+IF(EXACT(Q71,"V"),Q$5,0)</f>
      </c>
      <c r="K71" s="18"/>
      <c r="L71" s="18"/>
      <c r="M71" s="18"/>
      <c r="N71" s="18"/>
      <c r="O71" s="18"/>
      <c r="P71" s="18"/>
      <c r="Q71" s="18"/>
      <c r="R71" s="16" t="s">
        <v>1707</v>
      </c>
    </row>
    <row r="72">
      <c r="A72" s="7"/>
      <c r="B72" s="9" t="s">
        <v>1708</v>
      </c>
      <c r="C72" s="9"/>
      <c r="D72" s="9" t="s">
        <v>1709</v>
      </c>
      <c r="E72" s="9" t="s">
        <v>566</v>
      </c>
      <c r="F72" s="9" t="s">
        <v>1710</v>
      </c>
      <c r="G72" s="7"/>
      <c r="H72" s="14"/>
      <c r="I72" s="16" t="str">
        <f>=G72*J72</f>
      </c>
      <c r="J72" s="16" t="str">
        <f>IF(EXACT(K72,"V"),K$5,0)+IF(EXACT(L72,"V"),L$5,0)+IF(EXACT(M72,"V"),M$5,0)+IF(EXACT(N72,"V"),N$5,0)+IF(EXACT(O72,"V"),O$5,0)+IF(EXACT(P72,"V"),P$5,0)+IF(EXACT(Q72,"V"),Q$5,0)</f>
      </c>
      <c r="K72" s="18"/>
      <c r="L72" s="18"/>
      <c r="M72" s="18"/>
      <c r="N72" s="18"/>
      <c r="O72" s="18"/>
      <c r="P72" s="18"/>
      <c r="Q72" s="18"/>
      <c r="R72" s="16" t="s">
        <v>1711</v>
      </c>
    </row>
    <row r="73">
      <c r="A73" s="7"/>
      <c r="B73" s="9" t="s">
        <v>1712</v>
      </c>
      <c r="C73" s="9"/>
      <c r="D73" s="9" t="s">
        <v>1704</v>
      </c>
      <c r="E73" s="9" t="s">
        <v>482</v>
      </c>
      <c r="F73" s="9" t="s">
        <v>1713</v>
      </c>
      <c r="G73" s="7"/>
      <c r="H73" s="14"/>
      <c r="I73" s="16" t="str">
        <f>=G73*J73</f>
      </c>
      <c r="J73" s="16" t="str">
        <f>IF(EXACT(K73,"V"),K$5,0)+IF(EXACT(L73,"V"),L$5,0)+IF(EXACT(M73,"V"),M$5,0)+IF(EXACT(N73,"V"),N$5,0)+IF(EXACT(O73,"V"),O$5,0)+IF(EXACT(P73,"V"),P$5,0)+IF(EXACT(Q73,"V"),Q$5,0)</f>
      </c>
      <c r="K73" s="18"/>
      <c r="L73" s="18"/>
      <c r="M73" s="18"/>
      <c r="N73" s="18"/>
      <c r="O73" s="18"/>
      <c r="P73" s="18"/>
      <c r="Q73" s="18"/>
      <c r="R73" s="16" t="s">
        <v>1702</v>
      </c>
    </row>
    <row r="74">
      <c r="A74" s="6" t="s">
        <v>1714</v>
      </c>
      <c r="B74" s="8" t="s">
        <v>1715</v>
      </c>
      <c r="C74" s="8"/>
      <c r="D74" s="8" t="s">
        <v>1716</v>
      </c>
      <c r="E74" s="8" t="s">
        <v>566</v>
      </c>
      <c r="F74" s="8" t="s">
        <v>1717</v>
      </c>
      <c r="G74" s="6">
        <v>1</v>
      </c>
      <c r="H74" s="13" t="s">
        <v>1718</v>
      </c>
      <c r="I74" s="15" t="str">
        <f>=G74*J74</f>
      </c>
      <c r="J74" s="15" t="str">
        <f>IF(EXACT(K74,"V"),K$5,0)+IF(EXACT(L74,"V"),L$5,0)+IF(EXACT(M74,"V"),M$5,0)+IF(EXACT(N74,"V"),N$5,0)+IF(EXACT(O74,"V"),O$5,0)+IF(EXACT(P74,"V"),P$5,0)+IF(EXACT(Q74,"V"),Q$5,0)</f>
      </c>
      <c r="K74" s="17"/>
      <c r="L74" s="17"/>
      <c r="M74" s="17"/>
      <c r="N74" s="17"/>
      <c r="O74" s="17"/>
      <c r="P74" s="17"/>
      <c r="Q74" s="17"/>
      <c r="R74" s="15" t="s">
        <v>1719</v>
      </c>
    </row>
    <row r="75">
      <c r="A75" s="6"/>
      <c r="B75" s="8" t="s">
        <v>1720</v>
      </c>
      <c r="C75" s="8"/>
      <c r="D75" s="8" t="s">
        <v>1716</v>
      </c>
      <c r="E75" s="8" t="s">
        <v>558</v>
      </c>
      <c r="F75" s="8" t="s">
        <v>1721</v>
      </c>
      <c r="G75" s="6"/>
      <c r="H75" s="13"/>
      <c r="I75" s="15" t="str">
        <f>=G75*J75</f>
      </c>
      <c r="J75" s="15" t="str">
        <f>IF(EXACT(K75,"V"),K$5,0)+IF(EXACT(L75,"V"),L$5,0)+IF(EXACT(M75,"V"),M$5,0)+IF(EXACT(N75,"V"),N$5,0)+IF(EXACT(O75,"V"),O$5,0)+IF(EXACT(P75,"V"),P$5,0)+IF(EXACT(Q75,"V"),Q$5,0)</f>
      </c>
      <c r="K75" s="17"/>
      <c r="L75" s="17"/>
      <c r="M75" s="17"/>
      <c r="N75" s="17"/>
      <c r="O75" s="17"/>
      <c r="P75" s="17"/>
      <c r="Q75" s="17"/>
      <c r="R75" s="15" t="s">
        <v>1722</v>
      </c>
    </row>
    <row r="76">
      <c r="A76" s="6"/>
      <c r="B76" s="8" t="s">
        <v>1723</v>
      </c>
      <c r="C76" s="8"/>
      <c r="D76" s="8" t="s">
        <v>1716</v>
      </c>
      <c r="E76" s="8" t="s">
        <v>572</v>
      </c>
      <c r="F76" s="8" t="s">
        <v>1724</v>
      </c>
      <c r="G76" s="6"/>
      <c r="H76" s="13"/>
      <c r="I76" s="15" t="str">
        <f>=G76*J76</f>
      </c>
      <c r="J76" s="15" t="str">
        <f>IF(EXACT(K76,"V"),K$5,0)+IF(EXACT(L76,"V"),L$5,0)+IF(EXACT(M76,"V"),M$5,0)+IF(EXACT(N76,"V"),N$5,0)+IF(EXACT(O76,"V"),O$5,0)+IF(EXACT(P76,"V"),P$5,0)+IF(EXACT(Q76,"V"),Q$5,0)</f>
      </c>
      <c r="K76" s="17"/>
      <c r="L76" s="17"/>
      <c r="M76" s="17"/>
      <c r="N76" s="17"/>
      <c r="O76" s="17"/>
      <c r="P76" s="17"/>
      <c r="Q76" s="17"/>
      <c r="R76" s="15" t="s">
        <v>1725</v>
      </c>
    </row>
    <row r="77">
      <c r="A77" s="6"/>
      <c r="B77" s="8" t="s">
        <v>1726</v>
      </c>
      <c r="C77" s="8"/>
      <c r="D77" s="8" t="s">
        <v>1716</v>
      </c>
      <c r="E77" s="8" t="s">
        <v>285</v>
      </c>
      <c r="F77" s="8" t="s">
        <v>1727</v>
      </c>
      <c r="G77" s="6"/>
      <c r="H77" s="13"/>
      <c r="I77" s="15" t="str">
        <f>=G77*J77</f>
      </c>
      <c r="J77" s="15" t="str">
        <f>IF(EXACT(K77,"V"),K$5,0)+IF(EXACT(L77,"V"),L$5,0)+IF(EXACT(M77,"V"),M$5,0)+IF(EXACT(N77,"V"),N$5,0)+IF(EXACT(O77,"V"),O$5,0)+IF(EXACT(P77,"V"),P$5,0)+IF(EXACT(Q77,"V"),Q$5,0)</f>
      </c>
      <c r="K77" s="17"/>
      <c r="L77" s="17"/>
      <c r="M77" s="17"/>
      <c r="N77" s="17"/>
      <c r="O77" s="17"/>
      <c r="P77" s="17"/>
      <c r="Q77" s="17"/>
      <c r="R77" s="15" t="s">
        <v>1728</v>
      </c>
    </row>
    <row r="78">
      <c r="A78" s="7" t="s">
        <v>1729</v>
      </c>
      <c r="B78" s="9" t="s">
        <v>1730</v>
      </c>
      <c r="C78" s="9"/>
      <c r="D78" s="9" t="s">
        <v>1731</v>
      </c>
      <c r="E78" s="9" t="s">
        <v>1543</v>
      </c>
      <c r="F78" s="9" t="s">
        <v>1732</v>
      </c>
      <c r="G78" s="7">
        <v>1</v>
      </c>
      <c r="H78" s="14" t="s">
        <v>1733</v>
      </c>
      <c r="I78" s="16" t="str">
        <f>=G78*J78</f>
      </c>
      <c r="J78" s="16" t="str">
        <f>IF(EXACT(K78,"V"),K$5,0)+IF(EXACT(L78,"V"),L$5,0)+IF(EXACT(M78,"V"),M$5,0)+IF(EXACT(N78,"V"),N$5,0)+IF(EXACT(O78,"V"),O$5,0)+IF(EXACT(P78,"V"),P$5,0)+IF(EXACT(Q78,"V"),Q$5,0)</f>
      </c>
      <c r="K78" s="18"/>
      <c r="L78" s="18"/>
      <c r="M78" s="18"/>
      <c r="N78" s="18"/>
      <c r="O78" s="18"/>
      <c r="P78" s="18"/>
      <c r="Q78" s="18"/>
      <c r="R78" s="16" t="s">
        <v>1648</v>
      </c>
    </row>
    <row r="79">
      <c r="A79" s="7"/>
      <c r="B79" s="9" t="s">
        <v>1734</v>
      </c>
      <c r="C79" s="9"/>
      <c r="D79" s="9" t="s">
        <v>1735</v>
      </c>
      <c r="E79" s="9" t="s">
        <v>566</v>
      </c>
      <c r="F79" s="9" t="s">
        <v>1736</v>
      </c>
      <c r="G79" s="7"/>
      <c r="H79" s="14"/>
      <c r="I79" s="16" t="str">
        <f>=G79*J79</f>
      </c>
      <c r="J79" s="16" t="str">
        <f>IF(EXACT(K79,"V"),K$5,0)+IF(EXACT(L79,"V"),L$5,0)+IF(EXACT(M79,"V"),M$5,0)+IF(EXACT(N79,"V"),N$5,0)+IF(EXACT(O79,"V"),O$5,0)+IF(EXACT(P79,"V"),P$5,0)+IF(EXACT(Q79,"V"),Q$5,0)</f>
      </c>
      <c r="K79" s="18"/>
      <c r="L79" s="18"/>
      <c r="M79" s="18"/>
      <c r="N79" s="18"/>
      <c r="O79" s="18"/>
      <c r="P79" s="18"/>
      <c r="Q79" s="18"/>
      <c r="R79" s="16" t="s">
        <v>1636</v>
      </c>
    </row>
    <row r="80">
      <c r="A80" s="7"/>
      <c r="B80" s="9" t="s">
        <v>1737</v>
      </c>
      <c r="C80" s="9"/>
      <c r="D80" s="9" t="s">
        <v>1738</v>
      </c>
      <c r="E80" s="9" t="s">
        <v>572</v>
      </c>
      <c r="F80" s="9" t="s">
        <v>1739</v>
      </c>
      <c r="G80" s="7"/>
      <c r="H80" s="14"/>
      <c r="I80" s="16" t="str">
        <f>=G80*J80</f>
      </c>
      <c r="J80" s="16" t="str">
        <f>IF(EXACT(K80,"V"),K$5,0)+IF(EXACT(L80,"V"),L$5,0)+IF(EXACT(M80,"V"),M$5,0)+IF(EXACT(N80,"V"),N$5,0)+IF(EXACT(O80,"V"),O$5,0)+IF(EXACT(P80,"V"),P$5,0)+IF(EXACT(Q80,"V"),Q$5,0)</f>
      </c>
      <c r="K80" s="18"/>
      <c r="L80" s="18"/>
      <c r="M80" s="18"/>
      <c r="N80" s="18"/>
      <c r="O80" s="18"/>
      <c r="P80" s="18"/>
      <c r="Q80" s="18"/>
      <c r="R80" s="16" t="s">
        <v>1639</v>
      </c>
    </row>
    <row r="81">
      <c r="A81" s="6" t="s">
        <v>1740</v>
      </c>
      <c r="B81" s="8" t="s">
        <v>1741</v>
      </c>
      <c r="C81" s="8"/>
      <c r="D81" s="8" t="s">
        <v>1742</v>
      </c>
      <c r="E81" s="8" t="s">
        <v>473</v>
      </c>
      <c r="F81" s="8" t="s">
        <v>1743</v>
      </c>
      <c r="G81" s="6">
        <v>1</v>
      </c>
      <c r="H81" s="13" t="s">
        <v>1744</v>
      </c>
      <c r="I81" s="15" t="str">
        <f>=G81*J81</f>
      </c>
      <c r="J81" s="15" t="str">
        <f>IF(EXACT(K81,"V"),K$5,0)+IF(EXACT(L81,"V"),L$5,0)+IF(EXACT(M81,"V"),M$5,0)+IF(EXACT(N81,"V"),N$5,0)+IF(EXACT(O81,"V"),O$5,0)+IF(EXACT(P81,"V"),P$5,0)+IF(EXACT(Q81,"V"),Q$5,0)</f>
      </c>
      <c r="K81" s="17"/>
      <c r="L81" s="17"/>
      <c r="M81" s="17"/>
      <c r="N81" s="17"/>
      <c r="O81" s="17"/>
      <c r="P81" s="17"/>
      <c r="Q81" s="17"/>
      <c r="R81" s="15" t="s">
        <v>1745</v>
      </c>
    </row>
    <row r="82">
      <c r="A82" s="6"/>
      <c r="B82" s="8" t="s">
        <v>1746</v>
      </c>
      <c r="C82" s="8"/>
      <c r="D82" s="8" t="s">
        <v>1742</v>
      </c>
      <c r="E82" s="8" t="s">
        <v>572</v>
      </c>
      <c r="F82" s="8" t="s">
        <v>1747</v>
      </c>
      <c r="G82" s="6"/>
      <c r="H82" s="13"/>
      <c r="I82" s="15" t="str">
        <f>=G82*J82</f>
      </c>
      <c r="J82" s="15" t="str">
        <f>IF(EXACT(K82,"V"),K$5,0)+IF(EXACT(L82,"V"),L$5,0)+IF(EXACT(M82,"V"),M$5,0)+IF(EXACT(N82,"V"),N$5,0)+IF(EXACT(O82,"V"),O$5,0)+IF(EXACT(P82,"V"),P$5,0)+IF(EXACT(Q82,"V"),Q$5,0)</f>
      </c>
      <c r="K82" s="17"/>
      <c r="L82" s="17"/>
      <c r="M82" s="17"/>
      <c r="N82" s="17"/>
      <c r="O82" s="17"/>
      <c r="P82" s="17"/>
      <c r="Q82" s="17"/>
      <c r="R82" s="15" t="s">
        <v>1748</v>
      </c>
    </row>
    <row r="83">
      <c r="A83" s="6"/>
      <c r="B83" s="8" t="s">
        <v>1749</v>
      </c>
      <c r="C83" s="8"/>
      <c r="D83" s="8" t="s">
        <v>1742</v>
      </c>
      <c r="E83" s="8" t="s">
        <v>1543</v>
      </c>
      <c r="F83" s="8" t="s">
        <v>1750</v>
      </c>
      <c r="G83" s="6"/>
      <c r="H83" s="13"/>
      <c r="I83" s="15" t="str">
        <f>=G83*J83</f>
      </c>
      <c r="J83" s="15" t="str">
        <f>IF(EXACT(K83,"V"),K$5,0)+IF(EXACT(L83,"V"),L$5,0)+IF(EXACT(M83,"V"),M$5,0)+IF(EXACT(N83,"V"),N$5,0)+IF(EXACT(O83,"V"),O$5,0)+IF(EXACT(P83,"V"),P$5,0)+IF(EXACT(Q83,"V"),Q$5,0)</f>
      </c>
      <c r="K83" s="17"/>
      <c r="L83" s="17"/>
      <c r="M83" s="17"/>
      <c r="N83" s="17"/>
      <c r="O83" s="17"/>
      <c r="P83" s="17"/>
      <c r="Q83" s="17"/>
      <c r="R83" s="15" t="s">
        <v>1751</v>
      </c>
    </row>
    <row r="84">
      <c r="A84" s="6"/>
      <c r="B84" s="8" t="s">
        <v>1752</v>
      </c>
      <c r="C84" s="8"/>
      <c r="D84" s="8" t="s">
        <v>1742</v>
      </c>
      <c r="E84" s="8" t="s">
        <v>285</v>
      </c>
      <c r="F84" s="8" t="s">
        <v>1753</v>
      </c>
      <c r="G84" s="6"/>
      <c r="H84" s="13"/>
      <c r="I84" s="15" t="str">
        <f>=G84*J84</f>
      </c>
      <c r="J84" s="15" t="str">
        <f>IF(EXACT(K84,"V"),K$5,0)+IF(EXACT(L84,"V"),L$5,0)+IF(EXACT(M84,"V"),M$5,0)+IF(EXACT(N84,"V"),N$5,0)+IF(EXACT(O84,"V"),O$5,0)+IF(EXACT(P84,"V"),P$5,0)+IF(EXACT(Q84,"V"),Q$5,0)</f>
      </c>
      <c r="K84" s="17"/>
      <c r="L84" s="17"/>
      <c r="M84" s="17"/>
      <c r="N84" s="17"/>
      <c r="O84" s="17"/>
      <c r="P84" s="17"/>
      <c r="Q84" s="17"/>
      <c r="R84" s="15" t="s">
        <v>1748</v>
      </c>
    </row>
    <row r="85">
      <c r="A85" s="7" t="s">
        <v>1754</v>
      </c>
      <c r="B85" s="9" t="s">
        <v>1755</v>
      </c>
      <c r="C85" s="9"/>
      <c r="D85" s="9" t="s">
        <v>1756</v>
      </c>
      <c r="E85" s="9" t="s">
        <v>1757</v>
      </c>
      <c r="F85" s="9" t="s">
        <v>1758</v>
      </c>
      <c r="G85" s="7">
        <v>7</v>
      </c>
      <c r="H85" s="14" t="s">
        <v>1759</v>
      </c>
      <c r="I85" s="16" t="str">
        <f>=G85*J85</f>
      </c>
      <c r="J85" s="16" t="str">
        <f>IF(EXACT(K85,"V"),K$5,0)+IF(EXACT(L85,"V"),L$5,0)+IF(EXACT(M85,"V"),M$5,0)+IF(EXACT(N85,"V"),N$5,0)+IF(EXACT(O85,"V"),O$5,0)+IF(EXACT(P85,"V"),P$5,0)+IF(EXACT(Q85,"V"),Q$5,0)</f>
      </c>
      <c r="K85" s="18"/>
      <c r="L85" s="18"/>
      <c r="M85" s="18"/>
      <c r="N85" s="18"/>
      <c r="O85" s="18"/>
      <c r="P85" s="18"/>
      <c r="Q85" s="18"/>
      <c r="R85" s="16" t="s">
        <v>19</v>
      </c>
    </row>
    <row r="86">
      <c r="A86" s="7"/>
      <c r="B86" s="9" t="s">
        <v>1760</v>
      </c>
      <c r="C86" s="9"/>
      <c r="D86" s="9" t="s">
        <v>1761</v>
      </c>
      <c r="E86" s="9" t="s">
        <v>1762</v>
      </c>
      <c r="F86" s="9" t="s">
        <v>1763</v>
      </c>
      <c r="G86" s="7"/>
      <c r="H86" s="14"/>
      <c r="I86" s="16" t="str">
        <f>=G86*J86</f>
      </c>
      <c r="J86" s="16" t="str">
        <f>IF(EXACT(K86,"V"),K$5,0)+IF(EXACT(L86,"V"),L$5,0)+IF(EXACT(M86,"V"),M$5,0)+IF(EXACT(N86,"V"),N$5,0)+IF(EXACT(O86,"V"),O$5,0)+IF(EXACT(P86,"V"),P$5,0)+IF(EXACT(Q86,"V"),Q$5,0)</f>
      </c>
      <c r="K86" s="18"/>
      <c r="L86" s="18"/>
      <c r="M86" s="18"/>
      <c r="N86" s="18"/>
      <c r="O86" s="18"/>
      <c r="P86" s="18"/>
      <c r="Q86" s="18"/>
      <c r="R86" s="16" t="s">
        <v>19</v>
      </c>
    </row>
    <row r="87">
      <c r="A87" s="7"/>
      <c r="B87" s="9" t="s">
        <v>1764</v>
      </c>
      <c r="C87" s="9"/>
      <c r="D87" s="9" t="s">
        <v>1756</v>
      </c>
      <c r="E87" s="9" t="s">
        <v>1765</v>
      </c>
      <c r="F87" s="9" t="s">
        <v>1766</v>
      </c>
      <c r="G87" s="7"/>
      <c r="H87" s="14"/>
      <c r="I87" s="16" t="str">
        <f>=G87*J87</f>
      </c>
      <c r="J87" s="16" t="str">
        <f>IF(EXACT(K87,"V"),K$5,0)+IF(EXACT(L87,"V"),L$5,0)+IF(EXACT(M87,"V"),M$5,0)+IF(EXACT(N87,"V"),N$5,0)+IF(EXACT(O87,"V"),O$5,0)+IF(EXACT(P87,"V"),P$5,0)+IF(EXACT(Q87,"V"),Q$5,0)</f>
      </c>
      <c r="K87" s="18"/>
      <c r="L87" s="18"/>
      <c r="M87" s="18"/>
      <c r="N87" s="18"/>
      <c r="O87" s="18"/>
      <c r="P87" s="18"/>
      <c r="Q87" s="18"/>
      <c r="R87" s="16" t="s">
        <v>19</v>
      </c>
    </row>
    <row r="88">
      <c r="A88" s="7"/>
      <c r="B88" s="9" t="s">
        <v>1767</v>
      </c>
      <c r="C88" s="9"/>
      <c r="D88" s="9" t="s">
        <v>1768</v>
      </c>
      <c r="E88" s="9" t="s">
        <v>1769</v>
      </c>
      <c r="F88" s="9" t="s">
        <v>1770</v>
      </c>
      <c r="G88" s="7"/>
      <c r="H88" s="14"/>
      <c r="I88" s="16" t="str">
        <f>=G88*J88</f>
      </c>
      <c r="J88" s="16" t="str">
        <f>IF(EXACT(K88,"V"),K$5,0)+IF(EXACT(L88,"V"),L$5,0)+IF(EXACT(M88,"V"),M$5,0)+IF(EXACT(N88,"V"),N$5,0)+IF(EXACT(O88,"V"),O$5,0)+IF(EXACT(P88,"V"),P$5,0)+IF(EXACT(Q88,"V"),Q$5,0)</f>
      </c>
      <c r="K88" s="18"/>
      <c r="L88" s="18"/>
      <c r="M88" s="18"/>
      <c r="N88" s="18"/>
      <c r="O88" s="18"/>
      <c r="P88" s="18"/>
      <c r="Q88" s="18"/>
      <c r="R88" s="16" t="s">
        <v>19</v>
      </c>
    </row>
    <row r="89">
      <c r="A89" s="7"/>
      <c r="B89" s="9" t="s">
        <v>1771</v>
      </c>
      <c r="C89" s="9"/>
      <c r="D89" s="9" t="s">
        <v>1761</v>
      </c>
      <c r="E89" s="9" t="s">
        <v>1772</v>
      </c>
      <c r="F89" s="9" t="s">
        <v>1773</v>
      </c>
      <c r="G89" s="7"/>
      <c r="H89" s="14"/>
      <c r="I89" s="16" t="str">
        <f>=G89*J89</f>
      </c>
      <c r="J89" s="16" t="str">
        <f>IF(EXACT(K89,"V"),K$5,0)+IF(EXACT(L89,"V"),L$5,0)+IF(EXACT(M89,"V"),M$5,0)+IF(EXACT(N89,"V"),N$5,0)+IF(EXACT(O89,"V"),O$5,0)+IF(EXACT(P89,"V"),P$5,0)+IF(EXACT(Q89,"V"),Q$5,0)</f>
      </c>
      <c r="K89" s="18"/>
      <c r="L89" s="18"/>
      <c r="M89" s="18"/>
      <c r="N89" s="18"/>
      <c r="O89" s="18"/>
      <c r="P89" s="18"/>
      <c r="Q89" s="18"/>
      <c r="R89" s="16" t="s">
        <v>19</v>
      </c>
    </row>
    <row r="90">
      <c r="A90" s="6" t="s">
        <v>1774</v>
      </c>
      <c r="B90" s="8" t="s">
        <v>1775</v>
      </c>
      <c r="C90" s="8"/>
      <c r="D90" s="8" t="s">
        <v>1776</v>
      </c>
      <c r="E90" s="8" t="s">
        <v>1769</v>
      </c>
      <c r="F90" s="8" t="s">
        <v>1777</v>
      </c>
      <c r="G90" s="6">
        <v>1</v>
      </c>
      <c r="H90" s="13" t="s">
        <v>1778</v>
      </c>
      <c r="I90" s="15" t="str">
        <f>=G90*J90</f>
      </c>
      <c r="J90" s="15" t="str">
        <f>IF(EXACT(K90,"V"),K$5,0)+IF(EXACT(L90,"V"),L$5,0)+IF(EXACT(M90,"V"),M$5,0)+IF(EXACT(N90,"V"),N$5,0)+IF(EXACT(O90,"V"),O$5,0)+IF(EXACT(P90,"V"),P$5,0)+IF(EXACT(Q90,"V"),Q$5,0)</f>
      </c>
      <c r="K90" s="17"/>
      <c r="L90" s="17"/>
      <c r="M90" s="17"/>
      <c r="N90" s="17"/>
      <c r="O90" s="17"/>
      <c r="P90" s="17"/>
      <c r="Q90" s="17"/>
      <c r="R90" s="15" t="s">
        <v>19</v>
      </c>
    </row>
    <row r="91">
      <c r="A91" s="6"/>
      <c r="B91" s="8" t="s">
        <v>1779</v>
      </c>
      <c r="C91" s="8"/>
      <c r="D91" s="8" t="s">
        <v>1780</v>
      </c>
      <c r="E91" s="8" t="s">
        <v>1762</v>
      </c>
      <c r="F91" s="8" t="s">
        <v>1781</v>
      </c>
      <c r="G91" s="6"/>
      <c r="H91" s="13"/>
      <c r="I91" s="15" t="str">
        <f>=G91*J91</f>
      </c>
      <c r="J91" s="15" t="str">
        <f>IF(EXACT(K91,"V"),K$5,0)+IF(EXACT(L91,"V"),L$5,0)+IF(EXACT(M91,"V"),M$5,0)+IF(EXACT(N91,"V"),N$5,0)+IF(EXACT(O91,"V"),O$5,0)+IF(EXACT(P91,"V"),P$5,0)+IF(EXACT(Q91,"V"),Q$5,0)</f>
      </c>
      <c r="K91" s="17"/>
      <c r="L91" s="17"/>
      <c r="M91" s="17"/>
      <c r="N91" s="17"/>
      <c r="O91" s="17"/>
      <c r="P91" s="17"/>
      <c r="Q91" s="17"/>
      <c r="R91" s="15" t="s">
        <v>19</v>
      </c>
    </row>
    <row r="92">
      <c r="A92" s="6"/>
      <c r="B92" s="8" t="s">
        <v>1782</v>
      </c>
      <c r="C92" s="8"/>
      <c r="D92" s="8" t="s">
        <v>1783</v>
      </c>
      <c r="E92" s="8" t="s">
        <v>1765</v>
      </c>
      <c r="F92" s="8" t="s">
        <v>1784</v>
      </c>
      <c r="G92" s="6"/>
      <c r="H92" s="13"/>
      <c r="I92" s="15" t="str">
        <f>=G92*J92</f>
      </c>
      <c r="J92" s="15" t="str">
        <f>IF(EXACT(K92,"V"),K$5,0)+IF(EXACT(L92,"V"),L$5,0)+IF(EXACT(M92,"V"),M$5,0)+IF(EXACT(N92,"V"),N$5,0)+IF(EXACT(O92,"V"),O$5,0)+IF(EXACT(P92,"V"),P$5,0)+IF(EXACT(Q92,"V"),Q$5,0)</f>
      </c>
      <c r="K92" s="17"/>
      <c r="L92" s="17"/>
      <c r="M92" s="17"/>
      <c r="N92" s="17"/>
      <c r="O92" s="17"/>
      <c r="P92" s="17"/>
      <c r="Q92" s="17"/>
      <c r="R92" s="15" t="s">
        <v>1785</v>
      </c>
    </row>
    <row r="93">
      <c r="A93" s="6"/>
      <c r="B93" s="8" t="s">
        <v>1786</v>
      </c>
      <c r="C93" s="8"/>
      <c r="D93" s="8" t="s">
        <v>1783</v>
      </c>
      <c r="E93" s="8" t="s">
        <v>1757</v>
      </c>
      <c r="F93" s="8" t="s">
        <v>1787</v>
      </c>
      <c r="G93" s="6"/>
      <c r="H93" s="13"/>
      <c r="I93" s="15" t="str">
        <f>=G93*J93</f>
      </c>
      <c r="J93" s="15" t="str">
        <f>IF(EXACT(K93,"V"),K$5,0)+IF(EXACT(L93,"V"),L$5,0)+IF(EXACT(M93,"V"),M$5,0)+IF(EXACT(N93,"V"),N$5,0)+IF(EXACT(O93,"V"),O$5,0)+IF(EXACT(P93,"V"),P$5,0)+IF(EXACT(Q93,"V"),Q$5,0)</f>
      </c>
      <c r="K93" s="17"/>
      <c r="L93" s="17"/>
      <c r="M93" s="17"/>
      <c r="N93" s="17"/>
      <c r="O93" s="17"/>
      <c r="P93" s="17"/>
      <c r="Q93" s="17"/>
      <c r="R93" s="15" t="s">
        <v>19</v>
      </c>
    </row>
    <row r="94">
      <c r="A94" s="6"/>
      <c r="B94" s="8" t="s">
        <v>1788</v>
      </c>
      <c r="C94" s="8"/>
      <c r="D94" s="8" t="s">
        <v>1776</v>
      </c>
      <c r="E94" s="8" t="s">
        <v>1772</v>
      </c>
      <c r="F94" s="8" t="s">
        <v>1789</v>
      </c>
      <c r="G94" s="6"/>
      <c r="H94" s="13"/>
      <c r="I94" s="15" t="str">
        <f>=G94*J94</f>
      </c>
      <c r="J94" s="15" t="str">
        <f>IF(EXACT(K94,"V"),K$5,0)+IF(EXACT(L94,"V"),L$5,0)+IF(EXACT(M94,"V"),M$5,0)+IF(EXACT(N94,"V"),N$5,0)+IF(EXACT(O94,"V"),O$5,0)+IF(EXACT(P94,"V"),P$5,0)+IF(EXACT(Q94,"V"),Q$5,0)</f>
      </c>
      <c r="K94" s="17"/>
      <c r="L94" s="17"/>
      <c r="M94" s="17"/>
      <c r="N94" s="17"/>
      <c r="O94" s="17"/>
      <c r="P94" s="17"/>
      <c r="Q94" s="17"/>
      <c r="R94" s="15" t="s">
        <v>19</v>
      </c>
    </row>
    <row r="95">
      <c r="A95" s="7" t="s">
        <v>1790</v>
      </c>
      <c r="B95" s="9" t="s">
        <v>1791</v>
      </c>
      <c r="C95" s="9"/>
      <c r="D95" s="9" t="s">
        <v>1792</v>
      </c>
      <c r="E95" s="9" t="s">
        <v>1769</v>
      </c>
      <c r="F95" s="9" t="s">
        <v>1793</v>
      </c>
      <c r="G95" s="7">
        <v>22</v>
      </c>
      <c r="H95" s="14" t="s">
        <v>1794</v>
      </c>
      <c r="I95" s="16" t="str">
        <f>=G95*J95</f>
      </c>
      <c r="J95" s="16" t="str">
        <f>IF(EXACT(K95,"V"),K$5,0)+IF(EXACT(L95,"V"),L$5,0)+IF(EXACT(M95,"V"),M$5,0)+IF(EXACT(N95,"V"),N$5,0)+IF(EXACT(O95,"V"),O$5,0)+IF(EXACT(P95,"V"),P$5,0)+IF(EXACT(Q95,"V"),Q$5,0)</f>
      </c>
      <c r="K95" s="18"/>
      <c r="L95" s="18"/>
      <c r="M95" s="18"/>
      <c r="N95" s="18"/>
      <c r="O95" s="18"/>
      <c r="P95" s="18"/>
      <c r="Q95" s="18"/>
      <c r="R95" s="16" t="s">
        <v>19</v>
      </c>
    </row>
    <row r="96">
      <c r="A96" s="7"/>
      <c r="B96" s="9" t="s">
        <v>1795</v>
      </c>
      <c r="C96" s="9"/>
      <c r="D96" s="9" t="s">
        <v>1796</v>
      </c>
      <c r="E96" s="9" t="s">
        <v>1762</v>
      </c>
      <c r="F96" s="9" t="s">
        <v>1797</v>
      </c>
      <c r="G96" s="7"/>
      <c r="H96" s="14"/>
      <c r="I96" s="16" t="str">
        <f>=G96*J96</f>
      </c>
      <c r="J96" s="16" t="str">
        <f>IF(EXACT(K96,"V"),K$5,0)+IF(EXACT(L96,"V"),L$5,0)+IF(EXACT(M96,"V"),M$5,0)+IF(EXACT(N96,"V"),N$5,0)+IF(EXACT(O96,"V"),O$5,0)+IF(EXACT(P96,"V"),P$5,0)+IF(EXACT(Q96,"V"),Q$5,0)</f>
      </c>
      <c r="K96" s="18"/>
      <c r="L96" s="18"/>
      <c r="M96" s="18"/>
      <c r="N96" s="18"/>
      <c r="O96" s="18"/>
      <c r="P96" s="18"/>
      <c r="Q96" s="18"/>
      <c r="R96" s="16" t="s">
        <v>19</v>
      </c>
    </row>
    <row r="97">
      <c r="A97" s="7"/>
      <c r="B97" s="9" t="s">
        <v>1798</v>
      </c>
      <c r="C97" s="9"/>
      <c r="D97" s="9" t="s">
        <v>1796</v>
      </c>
      <c r="E97" s="9" t="s">
        <v>1765</v>
      </c>
      <c r="F97" s="9" t="s">
        <v>1799</v>
      </c>
      <c r="G97" s="7"/>
      <c r="H97" s="14"/>
      <c r="I97" s="16" t="str">
        <f>=G97*J97</f>
      </c>
      <c r="J97" s="16" t="str">
        <f>IF(EXACT(K97,"V"),K$5,0)+IF(EXACT(L97,"V"),L$5,0)+IF(EXACT(M97,"V"),M$5,0)+IF(EXACT(N97,"V"),N$5,0)+IF(EXACT(O97,"V"),O$5,0)+IF(EXACT(P97,"V"),P$5,0)+IF(EXACT(Q97,"V"),Q$5,0)</f>
      </c>
      <c r="K97" s="18"/>
      <c r="L97" s="18"/>
      <c r="M97" s="18"/>
      <c r="N97" s="18"/>
      <c r="O97" s="18"/>
      <c r="P97" s="18"/>
      <c r="Q97" s="18"/>
      <c r="R97" s="16" t="s">
        <v>19</v>
      </c>
    </row>
    <row r="98">
      <c r="A98" s="7"/>
      <c r="B98" s="9" t="s">
        <v>1800</v>
      </c>
      <c r="C98" s="9"/>
      <c r="D98" s="9" t="s">
        <v>1796</v>
      </c>
      <c r="E98" s="9" t="s">
        <v>1757</v>
      </c>
      <c r="F98" s="9" t="s">
        <v>1801</v>
      </c>
      <c r="G98" s="7"/>
      <c r="H98" s="14"/>
      <c r="I98" s="16" t="str">
        <f>=G98*J98</f>
      </c>
      <c r="J98" s="16" t="str">
        <f>IF(EXACT(K98,"V"),K$5,0)+IF(EXACT(L98,"V"),L$5,0)+IF(EXACT(M98,"V"),M$5,0)+IF(EXACT(N98,"V"),N$5,0)+IF(EXACT(O98,"V"),O$5,0)+IF(EXACT(P98,"V"),P$5,0)+IF(EXACT(Q98,"V"),Q$5,0)</f>
      </c>
      <c r="K98" s="18"/>
      <c r="L98" s="18"/>
      <c r="M98" s="18"/>
      <c r="N98" s="18"/>
      <c r="O98" s="18"/>
      <c r="P98" s="18"/>
      <c r="Q98" s="18"/>
      <c r="R98" s="16" t="s">
        <v>19</v>
      </c>
    </row>
    <row r="99">
      <c r="A99" s="6" t="s">
        <v>1802</v>
      </c>
      <c r="B99" s="8" t="s">
        <v>1803</v>
      </c>
      <c r="C99" s="8"/>
      <c r="D99" s="8" t="s">
        <v>1804</v>
      </c>
      <c r="E99" s="8" t="s">
        <v>566</v>
      </c>
      <c r="F99" s="8" t="s">
        <v>1805</v>
      </c>
      <c r="G99" s="6">
        <v>1</v>
      </c>
      <c r="H99" s="13" t="s">
        <v>1806</v>
      </c>
      <c r="I99" s="15" t="str">
        <f>=G99*J99</f>
      </c>
      <c r="J99" s="15" t="str">
        <f>IF(EXACT(K99,"V"),K$5,0)+IF(EXACT(L99,"V"),L$5,0)+IF(EXACT(M99,"V"),M$5,0)+IF(EXACT(N99,"V"),N$5,0)+IF(EXACT(O99,"V"),O$5,0)+IF(EXACT(P99,"V"),P$5,0)+IF(EXACT(Q99,"V"),Q$5,0)</f>
      </c>
      <c r="K99" s="17"/>
      <c r="L99" s="17"/>
      <c r="M99" s="17"/>
      <c r="N99" s="17"/>
      <c r="O99" s="17"/>
      <c r="P99" s="17"/>
      <c r="Q99" s="17"/>
      <c r="R99" s="15" t="s">
        <v>1722</v>
      </c>
    </row>
    <row r="100">
      <c r="A100" s="7" t="s">
        <v>1807</v>
      </c>
      <c r="B100" s="9" t="s">
        <v>1808</v>
      </c>
      <c r="C100" s="9"/>
      <c r="D100" s="9" t="s">
        <v>1809</v>
      </c>
      <c r="E100" s="9" t="s">
        <v>1810</v>
      </c>
      <c r="F100" s="9" t="s">
        <v>1811</v>
      </c>
      <c r="G100" s="7">
        <v>1</v>
      </c>
      <c r="H100" s="14" t="s">
        <v>1812</v>
      </c>
      <c r="I100" s="16" t="str">
        <f>=G100*J100</f>
      </c>
      <c r="J100" s="16" t="str">
        <f>IF(EXACT(K100,"V"),K$5,0)+IF(EXACT(L100,"V"),L$5,0)+IF(EXACT(M100,"V"),M$5,0)+IF(EXACT(N100,"V"),N$5,0)+IF(EXACT(O100,"V"),O$5,0)+IF(EXACT(P100,"V"),P$5,0)+IF(EXACT(Q100,"V"),Q$5,0)</f>
      </c>
      <c r="K100" s="18"/>
      <c r="L100" s="18"/>
      <c r="M100" s="18"/>
      <c r="N100" s="18"/>
      <c r="O100" s="18"/>
      <c r="P100" s="18"/>
      <c r="Q100" s="18"/>
      <c r="R100" s="16" t="s">
        <v>1813</v>
      </c>
    </row>
    <row r="101">
      <c r="A101" s="7"/>
      <c r="B101" s="9" t="s">
        <v>1814</v>
      </c>
      <c r="C101" s="9"/>
      <c r="D101" s="9" t="s">
        <v>1809</v>
      </c>
      <c r="E101" s="9" t="s">
        <v>1815</v>
      </c>
      <c r="F101" s="9" t="s">
        <v>1816</v>
      </c>
      <c r="G101" s="7"/>
      <c r="H101" s="14"/>
      <c r="I101" s="16" t="str">
        <f>=G101*J101</f>
      </c>
      <c r="J101" s="16" t="str">
        <f>IF(EXACT(K101,"V"),K$5,0)+IF(EXACT(L101,"V"),L$5,0)+IF(EXACT(M101,"V"),M$5,0)+IF(EXACT(N101,"V"),N$5,0)+IF(EXACT(O101,"V"),O$5,0)+IF(EXACT(P101,"V"),P$5,0)+IF(EXACT(Q101,"V"),Q$5,0)</f>
      </c>
      <c r="K101" s="18"/>
      <c r="L101" s="18"/>
      <c r="M101" s="18"/>
      <c r="N101" s="18"/>
      <c r="O101" s="18"/>
      <c r="P101" s="18"/>
      <c r="Q101" s="18"/>
      <c r="R101" s="16" t="s">
        <v>1813</v>
      </c>
    </row>
    <row r="102">
      <c r="A102" s="6" t="s">
        <v>1817</v>
      </c>
      <c r="B102" s="8" t="s">
        <v>1818</v>
      </c>
      <c r="C102" s="8"/>
      <c r="D102" s="8" t="s">
        <v>1819</v>
      </c>
      <c r="E102" s="8" t="s">
        <v>1820</v>
      </c>
      <c r="F102" s="8" t="s">
        <v>1821</v>
      </c>
      <c r="G102" s="6">
        <v>1</v>
      </c>
      <c r="H102" s="13" t="s">
        <v>1822</v>
      </c>
      <c r="I102" s="15" t="str">
        <f>=G102*J102</f>
      </c>
      <c r="J102" s="15" t="str">
        <f>IF(EXACT(K102,"V"),K$5,0)+IF(EXACT(L102,"V"),L$5,0)+IF(EXACT(M102,"V"),M$5,0)+IF(EXACT(N102,"V"),N$5,0)+IF(EXACT(O102,"V"),O$5,0)+IF(EXACT(P102,"V"),P$5,0)+IF(EXACT(Q102,"V"),Q$5,0)</f>
      </c>
      <c r="K102" s="17"/>
      <c r="L102" s="17"/>
      <c r="M102" s="17"/>
      <c r="N102" s="17"/>
      <c r="O102" s="17"/>
      <c r="P102" s="17"/>
      <c r="Q102" s="17"/>
      <c r="R102" s="15" t="s">
        <v>19</v>
      </c>
    </row>
    <row r="103">
      <c r="A103" s="6"/>
      <c r="B103" s="8" t="s">
        <v>1823</v>
      </c>
      <c r="C103" s="8"/>
      <c r="D103" s="8" t="s">
        <v>1819</v>
      </c>
      <c r="E103" s="8" t="s">
        <v>1824</v>
      </c>
      <c r="F103" s="8" t="s">
        <v>1825</v>
      </c>
      <c r="G103" s="6"/>
      <c r="H103" s="13"/>
      <c r="I103" s="15" t="str">
        <f>=G103*J103</f>
      </c>
      <c r="J103" s="15" t="str">
        <f>IF(EXACT(K103,"V"),K$5,0)+IF(EXACT(L103,"V"),L$5,0)+IF(EXACT(M103,"V"),M$5,0)+IF(EXACT(N103,"V"),N$5,0)+IF(EXACT(O103,"V"),O$5,0)+IF(EXACT(P103,"V"),P$5,0)+IF(EXACT(Q103,"V"),Q$5,0)</f>
      </c>
      <c r="K103" s="17"/>
      <c r="L103" s="17"/>
      <c r="M103" s="17"/>
      <c r="N103" s="17"/>
      <c r="O103" s="17"/>
      <c r="P103" s="17"/>
      <c r="Q103" s="17"/>
      <c r="R103" s="15" t="s">
        <v>1826</v>
      </c>
    </row>
    <row r="104">
      <c r="A104" s="6"/>
      <c r="B104" s="8" t="s">
        <v>1827</v>
      </c>
      <c r="C104" s="8"/>
      <c r="D104" s="8" t="s">
        <v>1828</v>
      </c>
      <c r="E104" s="8" t="s">
        <v>1829</v>
      </c>
      <c r="F104" s="8" t="s">
        <v>1830</v>
      </c>
      <c r="G104" s="6"/>
      <c r="H104" s="13"/>
      <c r="I104" s="15" t="str">
        <f>=G104*J104</f>
      </c>
      <c r="J104" s="15" t="str">
        <f>IF(EXACT(K104,"V"),K$5,0)+IF(EXACT(L104,"V"),L$5,0)+IF(EXACT(M104,"V"),M$5,0)+IF(EXACT(N104,"V"),N$5,0)+IF(EXACT(O104,"V"),O$5,0)+IF(EXACT(P104,"V"),P$5,0)+IF(EXACT(Q104,"V"),Q$5,0)</f>
      </c>
      <c r="K104" s="17"/>
      <c r="L104" s="17"/>
      <c r="M104" s="17"/>
      <c r="N104" s="17"/>
      <c r="O104" s="17"/>
      <c r="P104" s="17"/>
      <c r="Q104" s="17"/>
      <c r="R104" s="15" t="s">
        <v>1831</v>
      </c>
    </row>
    <row r="105">
      <c r="A105" s="6"/>
      <c r="B105" s="8" t="s">
        <v>1832</v>
      </c>
      <c r="C105" s="8"/>
      <c r="D105" s="8" t="s">
        <v>1833</v>
      </c>
      <c r="E105" s="8" t="s">
        <v>1810</v>
      </c>
      <c r="F105" s="8" t="s">
        <v>1834</v>
      </c>
      <c r="G105" s="6"/>
      <c r="H105" s="13"/>
      <c r="I105" s="15" t="str">
        <f>=G105*J105</f>
      </c>
      <c r="J105" s="15" t="str">
        <f>IF(EXACT(K105,"V"),K$5,0)+IF(EXACT(L105,"V"),L$5,0)+IF(EXACT(M105,"V"),M$5,0)+IF(EXACT(N105,"V"),N$5,0)+IF(EXACT(O105,"V"),O$5,0)+IF(EXACT(P105,"V"),P$5,0)+IF(EXACT(Q105,"V"),Q$5,0)</f>
      </c>
      <c r="K105" s="17"/>
      <c r="L105" s="17"/>
      <c r="M105" s="17"/>
      <c r="N105" s="17"/>
      <c r="O105" s="17"/>
      <c r="P105" s="17"/>
      <c r="Q105" s="17"/>
      <c r="R105" s="15" t="s">
        <v>1835</v>
      </c>
    </row>
    <row r="106">
      <c r="A106" s="7" t="s">
        <v>1836</v>
      </c>
      <c r="B106" s="9" t="s">
        <v>1837</v>
      </c>
      <c r="C106" s="9"/>
      <c r="D106" s="9" t="s">
        <v>1838</v>
      </c>
      <c r="E106" s="9" t="s">
        <v>1460</v>
      </c>
      <c r="F106" s="9" t="s">
        <v>1839</v>
      </c>
      <c r="G106" s="7">
        <v>1</v>
      </c>
      <c r="H106" s="14" t="s">
        <v>1840</v>
      </c>
      <c r="I106" s="16" t="str">
        <f>=G106*J106</f>
      </c>
      <c r="J106" s="16" t="str">
        <f>IF(EXACT(K106,"V"),K$5,0)+IF(EXACT(L106,"V"),L$5,0)+IF(EXACT(M106,"V"),M$5,0)+IF(EXACT(N106,"V"),N$5,0)+IF(EXACT(O106,"V"),O$5,0)+IF(EXACT(P106,"V"),P$5,0)+IF(EXACT(Q106,"V"),Q$5,0)</f>
      </c>
      <c r="K106" s="18"/>
      <c r="L106" s="18"/>
      <c r="M106" s="18"/>
      <c r="N106" s="18"/>
      <c r="O106" s="18"/>
      <c r="P106" s="18"/>
      <c r="Q106" s="18"/>
      <c r="R106" s="16" t="s">
        <v>19</v>
      </c>
    </row>
    <row r="107">
      <c r="A107" s="7"/>
      <c r="B107" s="9" t="s">
        <v>1841</v>
      </c>
      <c r="C107" s="9"/>
      <c r="D107" s="9" t="s">
        <v>1838</v>
      </c>
      <c r="E107" s="9" t="s">
        <v>566</v>
      </c>
      <c r="F107" s="9" t="s">
        <v>1842</v>
      </c>
      <c r="G107" s="7"/>
      <c r="H107" s="14"/>
      <c r="I107" s="16" t="str">
        <f>=G107*J107</f>
      </c>
      <c r="J107" s="16" t="str">
        <f>IF(EXACT(K107,"V"),K$5,0)+IF(EXACT(L107,"V"),L$5,0)+IF(EXACT(M107,"V"),M$5,0)+IF(EXACT(N107,"V"),N$5,0)+IF(EXACT(O107,"V"),O$5,0)+IF(EXACT(P107,"V"),P$5,0)+IF(EXACT(Q107,"V"),Q$5,0)</f>
      </c>
      <c r="K107" s="18"/>
      <c r="L107" s="18"/>
      <c r="M107" s="18"/>
      <c r="N107" s="18"/>
      <c r="O107" s="18"/>
      <c r="P107" s="18"/>
      <c r="Q107" s="18"/>
      <c r="R107" s="16" t="s">
        <v>19</v>
      </c>
    </row>
    <row r="108">
      <c r="A108" s="6" t="s">
        <v>1843</v>
      </c>
      <c r="B108" s="8" t="s">
        <v>1844</v>
      </c>
      <c r="C108" s="8"/>
      <c r="D108" s="8" t="s">
        <v>1845</v>
      </c>
      <c r="E108" s="8" t="s">
        <v>482</v>
      </c>
      <c r="F108" s="8" t="s">
        <v>1846</v>
      </c>
      <c r="G108" s="6">
        <v>1</v>
      </c>
      <c r="H108" s="13" t="s">
        <v>1847</v>
      </c>
      <c r="I108" s="15" t="str">
        <f>=G108*J108</f>
      </c>
      <c r="J108" s="15" t="str">
        <f>IF(EXACT(K108,"V"),K$5,0)+IF(EXACT(L108,"V"),L$5,0)+IF(EXACT(M108,"V"),M$5,0)+IF(EXACT(N108,"V"),N$5,0)+IF(EXACT(O108,"V"),O$5,0)+IF(EXACT(P108,"V"),P$5,0)+IF(EXACT(Q108,"V"),Q$5,0)</f>
      </c>
      <c r="K108" s="17"/>
      <c r="L108" s="17"/>
      <c r="M108" s="17"/>
      <c r="N108" s="17"/>
      <c r="O108" s="17"/>
      <c r="P108" s="17"/>
      <c r="Q108" s="17"/>
      <c r="R108" s="15" t="s">
        <v>1848</v>
      </c>
    </row>
    <row r="109">
      <c r="A109" s="6"/>
      <c r="B109" s="8" t="s">
        <v>1849</v>
      </c>
      <c r="C109" s="8"/>
      <c r="D109" s="8" t="s">
        <v>1845</v>
      </c>
      <c r="E109" s="8" t="s">
        <v>473</v>
      </c>
      <c r="F109" s="8" t="s">
        <v>1850</v>
      </c>
      <c r="G109" s="6"/>
      <c r="H109" s="13"/>
      <c r="I109" s="15" t="str">
        <f>=G109*J109</f>
      </c>
      <c r="J109" s="15" t="str">
        <f>IF(EXACT(K109,"V"),K$5,0)+IF(EXACT(L109,"V"),L$5,0)+IF(EXACT(M109,"V"),M$5,0)+IF(EXACT(N109,"V"),N$5,0)+IF(EXACT(O109,"V"),O$5,0)+IF(EXACT(P109,"V"),P$5,0)+IF(EXACT(Q109,"V"),Q$5,0)</f>
      </c>
      <c r="K109" s="17"/>
      <c r="L109" s="17"/>
      <c r="M109" s="17"/>
      <c r="N109" s="17"/>
      <c r="O109" s="17"/>
      <c r="P109" s="17"/>
      <c r="Q109" s="17"/>
      <c r="R109" s="15" t="s">
        <v>1848</v>
      </c>
    </row>
    <row r="110">
      <c r="A110" s="6"/>
      <c r="B110" s="8" t="s">
        <v>1851</v>
      </c>
      <c r="C110" s="8"/>
      <c r="D110" s="8" t="s">
        <v>1845</v>
      </c>
      <c r="E110" s="8" t="s">
        <v>529</v>
      </c>
      <c r="F110" s="8" t="s">
        <v>1852</v>
      </c>
      <c r="G110" s="6"/>
      <c r="H110" s="13"/>
      <c r="I110" s="15" t="str">
        <f>=G110*J110</f>
      </c>
      <c r="J110" s="15" t="str">
        <f>IF(EXACT(K110,"V"),K$5,0)+IF(EXACT(L110,"V"),L$5,0)+IF(EXACT(M110,"V"),M$5,0)+IF(EXACT(N110,"V"),N$5,0)+IF(EXACT(O110,"V"),O$5,0)+IF(EXACT(P110,"V"),P$5,0)+IF(EXACT(Q110,"V"),Q$5,0)</f>
      </c>
      <c r="K110" s="17"/>
      <c r="L110" s="17"/>
      <c r="M110" s="17"/>
      <c r="N110" s="17"/>
      <c r="O110" s="17"/>
      <c r="P110" s="17"/>
      <c r="Q110" s="17"/>
      <c r="R110" s="15" t="s">
        <v>1848</v>
      </c>
    </row>
    <row r="111">
      <c r="A111" s="7" t="s">
        <v>1853</v>
      </c>
      <c r="B111" s="9" t="s">
        <v>1854</v>
      </c>
      <c r="C111" s="9"/>
      <c r="D111" s="9" t="s">
        <v>1855</v>
      </c>
      <c r="E111" s="9" t="s">
        <v>1772</v>
      </c>
      <c r="F111" s="9" t="s">
        <v>1856</v>
      </c>
      <c r="G111" s="7">
        <v>1</v>
      </c>
      <c r="H111" s="14" t="s">
        <v>1857</v>
      </c>
      <c r="I111" s="16" t="str">
        <f>=G111*J111</f>
      </c>
      <c r="J111" s="16" t="str">
        <f>IF(EXACT(K111,"V"),K$5,0)+IF(EXACT(L111,"V"),L$5,0)+IF(EXACT(M111,"V"),M$5,0)+IF(EXACT(N111,"V"),N$5,0)+IF(EXACT(O111,"V"),O$5,0)+IF(EXACT(P111,"V"),P$5,0)+IF(EXACT(Q111,"V"),Q$5,0)</f>
      </c>
      <c r="K111" s="18"/>
      <c r="L111" s="18"/>
      <c r="M111" s="18"/>
      <c r="N111" s="18"/>
      <c r="O111" s="18"/>
      <c r="P111" s="18"/>
      <c r="Q111" s="18"/>
      <c r="R111" s="16" t="s">
        <v>19</v>
      </c>
    </row>
    <row r="112">
      <c r="A112" s="7"/>
      <c r="B112" s="9" t="s">
        <v>1858</v>
      </c>
      <c r="C112" s="9"/>
      <c r="D112" s="9" t="s">
        <v>1859</v>
      </c>
      <c r="E112" s="9" t="s">
        <v>1860</v>
      </c>
      <c r="F112" s="9" t="s">
        <v>1861</v>
      </c>
      <c r="G112" s="7"/>
      <c r="H112" s="14"/>
      <c r="I112" s="16" t="str">
        <f>=G112*J112</f>
      </c>
      <c r="J112" s="16" t="str">
        <f>IF(EXACT(K112,"V"),K$5,0)+IF(EXACT(L112,"V"),L$5,0)+IF(EXACT(M112,"V"),M$5,0)+IF(EXACT(N112,"V"),N$5,0)+IF(EXACT(O112,"V"),O$5,0)+IF(EXACT(P112,"V"),P$5,0)+IF(EXACT(Q112,"V"),Q$5,0)</f>
      </c>
      <c r="K112" s="18"/>
      <c r="L112" s="18"/>
      <c r="M112" s="18"/>
      <c r="N112" s="18"/>
      <c r="O112" s="18"/>
      <c r="P112" s="18"/>
      <c r="Q112" s="18"/>
      <c r="R112" s="16" t="s">
        <v>19</v>
      </c>
    </row>
    <row r="113">
      <c r="A113" s="7"/>
      <c r="B113" s="9" t="s">
        <v>1862</v>
      </c>
      <c r="C113" s="9"/>
      <c r="D113" s="9" t="s">
        <v>1863</v>
      </c>
      <c r="E113" s="9" t="s">
        <v>1757</v>
      </c>
      <c r="F113" s="9" t="s">
        <v>1864</v>
      </c>
      <c r="G113" s="7"/>
      <c r="H113" s="14"/>
      <c r="I113" s="16" t="str">
        <f>=G113*J113</f>
      </c>
      <c r="J113" s="16" t="str">
        <f>IF(EXACT(K113,"V"),K$5,0)+IF(EXACT(L113,"V"),L$5,0)+IF(EXACT(M113,"V"),M$5,0)+IF(EXACT(N113,"V"),N$5,0)+IF(EXACT(O113,"V"),O$5,0)+IF(EXACT(P113,"V"),P$5,0)+IF(EXACT(Q113,"V"),Q$5,0)</f>
      </c>
      <c r="K113" s="18"/>
      <c r="L113" s="18"/>
      <c r="M113" s="18"/>
      <c r="N113" s="18"/>
      <c r="O113" s="18"/>
      <c r="P113" s="18"/>
      <c r="Q113" s="18"/>
      <c r="R113" s="16" t="s">
        <v>19</v>
      </c>
    </row>
    <row r="114">
      <c r="A114" s="7"/>
      <c r="B114" s="9" t="s">
        <v>1865</v>
      </c>
      <c r="C114" s="9"/>
      <c r="D114" s="9" t="s">
        <v>1866</v>
      </c>
      <c r="E114" s="9" t="s">
        <v>622</v>
      </c>
      <c r="F114" s="9" t="s">
        <v>1867</v>
      </c>
      <c r="G114" s="7"/>
      <c r="H114" s="14"/>
      <c r="I114" s="16" t="str">
        <f>=G114*J114</f>
      </c>
      <c r="J114" s="16" t="str">
        <f>IF(EXACT(K114,"V"),K$5,0)+IF(EXACT(L114,"V"),L$5,0)+IF(EXACT(M114,"V"),M$5,0)+IF(EXACT(N114,"V"),N$5,0)+IF(EXACT(O114,"V"),O$5,0)+IF(EXACT(P114,"V"),P$5,0)+IF(EXACT(Q114,"V"),Q$5,0)</f>
      </c>
      <c r="K114" s="18"/>
      <c r="L114" s="18"/>
      <c r="M114" s="18"/>
      <c r="N114" s="18"/>
      <c r="O114" s="18"/>
      <c r="P114" s="18"/>
      <c r="Q114" s="18"/>
      <c r="R114" s="16" t="s">
        <v>19</v>
      </c>
    </row>
    <row r="115">
      <c r="A115" s="6" t="s">
        <v>1868</v>
      </c>
      <c r="B115" s="8" t="s">
        <v>1869</v>
      </c>
      <c r="C115" s="8"/>
      <c r="D115" s="8" t="s">
        <v>1870</v>
      </c>
      <c r="E115" s="8" t="s">
        <v>1772</v>
      </c>
      <c r="F115" s="8" t="s">
        <v>1871</v>
      </c>
      <c r="G115" s="6">
        <v>1</v>
      </c>
      <c r="H115" s="13" t="s">
        <v>1872</v>
      </c>
      <c r="I115" s="15" t="str">
        <f>=G115*J115</f>
      </c>
      <c r="J115" s="15" t="str">
        <f>IF(EXACT(K115,"V"),K$5,0)+IF(EXACT(L115,"V"),L$5,0)+IF(EXACT(M115,"V"),M$5,0)+IF(EXACT(N115,"V"),N$5,0)+IF(EXACT(O115,"V"),O$5,0)+IF(EXACT(P115,"V"),P$5,0)+IF(EXACT(Q115,"V"),Q$5,0)</f>
      </c>
      <c r="K115" s="17"/>
      <c r="L115" s="17"/>
      <c r="M115" s="17"/>
      <c r="N115" s="17"/>
      <c r="O115" s="17"/>
      <c r="P115" s="17"/>
      <c r="Q115" s="17"/>
      <c r="R115" s="15" t="s">
        <v>19</v>
      </c>
    </row>
    <row r="116">
      <c r="A116" s="6"/>
      <c r="B116" s="8" t="s">
        <v>1873</v>
      </c>
      <c r="C116" s="8"/>
      <c r="D116" s="8" t="s">
        <v>1874</v>
      </c>
      <c r="E116" s="8" t="s">
        <v>1860</v>
      </c>
      <c r="F116" s="8" t="s">
        <v>1875</v>
      </c>
      <c r="G116" s="6"/>
      <c r="H116" s="13"/>
      <c r="I116" s="15" t="str">
        <f>=G116*J116</f>
      </c>
      <c r="J116" s="15" t="str">
        <f>IF(EXACT(K116,"V"),K$5,0)+IF(EXACT(L116,"V"),L$5,0)+IF(EXACT(M116,"V"),M$5,0)+IF(EXACT(N116,"V"),N$5,0)+IF(EXACT(O116,"V"),O$5,0)+IF(EXACT(P116,"V"),P$5,0)+IF(EXACT(Q116,"V"),Q$5,0)</f>
      </c>
      <c r="K116" s="17"/>
      <c r="L116" s="17"/>
      <c r="M116" s="17"/>
      <c r="N116" s="17"/>
      <c r="O116" s="17"/>
      <c r="P116" s="17"/>
      <c r="Q116" s="17"/>
      <c r="R116" s="15" t="s">
        <v>19</v>
      </c>
    </row>
    <row r="117">
      <c r="A117" s="6"/>
      <c r="B117" s="8" t="s">
        <v>1876</v>
      </c>
      <c r="C117" s="8"/>
      <c r="D117" s="8" t="s">
        <v>1877</v>
      </c>
      <c r="E117" s="8" t="s">
        <v>1757</v>
      </c>
      <c r="F117" s="8" t="s">
        <v>1878</v>
      </c>
      <c r="G117" s="6"/>
      <c r="H117" s="13"/>
      <c r="I117" s="15" t="str">
        <f>=G117*J117</f>
      </c>
      <c r="J117" s="15" t="str">
        <f>IF(EXACT(K117,"V"),K$5,0)+IF(EXACT(L117,"V"),L$5,0)+IF(EXACT(M117,"V"),M$5,0)+IF(EXACT(N117,"V"),N$5,0)+IF(EXACT(O117,"V"),O$5,0)+IF(EXACT(P117,"V"),P$5,0)+IF(EXACT(Q117,"V"),Q$5,0)</f>
      </c>
      <c r="K117" s="17"/>
      <c r="L117" s="17"/>
      <c r="M117" s="17"/>
      <c r="N117" s="17"/>
      <c r="O117" s="17"/>
      <c r="P117" s="17"/>
      <c r="Q117" s="17"/>
      <c r="R117" s="15" t="s">
        <v>19</v>
      </c>
    </row>
    <row r="118">
      <c r="A118" s="6"/>
      <c r="B118" s="8" t="s">
        <v>1879</v>
      </c>
      <c r="C118" s="8"/>
      <c r="D118" s="8" t="s">
        <v>1880</v>
      </c>
      <c r="E118" s="8" t="s">
        <v>622</v>
      </c>
      <c r="F118" s="8" t="s">
        <v>1881</v>
      </c>
      <c r="G118" s="6"/>
      <c r="H118" s="13"/>
      <c r="I118" s="15" t="str">
        <f>=G118*J118</f>
      </c>
      <c r="J118" s="15" t="str">
        <f>IF(EXACT(K118,"V"),K$5,0)+IF(EXACT(L118,"V"),L$5,0)+IF(EXACT(M118,"V"),M$5,0)+IF(EXACT(N118,"V"),N$5,0)+IF(EXACT(O118,"V"),O$5,0)+IF(EXACT(P118,"V"),P$5,0)+IF(EXACT(Q118,"V"),Q$5,0)</f>
      </c>
      <c r="K118" s="17"/>
      <c r="L118" s="17"/>
      <c r="M118" s="17"/>
      <c r="N118" s="17"/>
      <c r="O118" s="17"/>
      <c r="P118" s="17"/>
      <c r="Q118" s="17"/>
      <c r="R118" s="15" t="s">
        <v>19</v>
      </c>
    </row>
  </sheetData>
</worksheet>
</file>

<file path=xl/worksheets/sheet4.xml><?xml version="1.0" encoding="utf-8"?>
<worksheet xmlns="http://schemas.openxmlformats.org/spreadsheetml/2006/main">
  <dimension ref="A1"/>
  <sheetViews>
    <sheetView workbookViewId="0"/>
  </sheetViews>
  <sheetData>
    <row r="5">
      <c r="K5" t="s">
        <v>19</v>
      </c>
      <c r="L5" t="s">
        <v>19</v>
      </c>
      <c r="M5" t="s">
        <v>19</v>
      </c>
      <c r="N5" t="s">
        <v>19</v>
      </c>
      <c r="O5" t="s">
        <v>19</v>
      </c>
      <c r="P5" t="s">
        <v>19</v>
      </c>
      <c r="Q5" t="s">
        <v>19</v>
      </c>
    </row>
    <row r="6">
      <c r="A6" s="6" t="s">
        <v>1882</v>
      </c>
      <c r="B6" s="8" t="s">
        <v>1883</v>
      </c>
      <c r="C6" s="8"/>
      <c r="D6" s="8" t="s">
        <v>1884</v>
      </c>
      <c r="E6" s="8" t="s">
        <v>154</v>
      </c>
      <c r="F6" s="8" t="s">
        <v>1885</v>
      </c>
      <c r="G6" s="6">
        <v>1</v>
      </c>
      <c r="H6" s="13" t="s">
        <v>1886</v>
      </c>
      <c r="I6" s="15" t="str">
        <f>=G6*J6</f>
      </c>
      <c r="J6" s="15" t="str">
        <f>IF(EXACT(K6,"V"),K$5,0)+IF(EXACT(L6,"V"),L$5,0)+IF(EXACT(M6,"V"),M$5,0)+IF(EXACT(N6,"V"),N$5,0)+IF(EXACT(O6,"V"),O$5,0)+IF(EXACT(P6,"V"),P$5,0)+IF(EXACT(Q6,"V"),Q$5,0)</f>
      </c>
      <c r="K6" s="17"/>
      <c r="L6" s="17"/>
      <c r="M6" s="17"/>
      <c r="N6" s="17"/>
      <c r="O6" s="17"/>
      <c r="P6" s="17"/>
      <c r="Q6" s="17"/>
      <c r="R6" s="15" t="s">
        <v>19</v>
      </c>
    </row>
    <row r="7">
      <c r="A7" s="6"/>
      <c r="B7" s="8" t="s">
        <v>1887</v>
      </c>
      <c r="C7" s="8"/>
      <c r="D7" s="8" t="s">
        <v>1888</v>
      </c>
      <c r="E7" s="8" t="s">
        <v>159</v>
      </c>
      <c r="F7" s="8" t="s">
        <v>1889</v>
      </c>
      <c r="G7" s="6"/>
      <c r="H7" s="13"/>
      <c r="I7" s="15" t="str">
        <f>=G7*J7</f>
      </c>
      <c r="J7" s="15" t="str">
        <f>IF(EXACT(K7,"V"),K$5,0)+IF(EXACT(L7,"V"),L$5,0)+IF(EXACT(M7,"V"),M$5,0)+IF(EXACT(N7,"V"),N$5,0)+IF(EXACT(O7,"V"),O$5,0)+IF(EXACT(P7,"V"),P$5,0)+IF(EXACT(Q7,"V"),Q$5,0)</f>
      </c>
      <c r="K7" s="17"/>
      <c r="L7" s="17"/>
      <c r="M7" s="17"/>
      <c r="N7" s="17"/>
      <c r="O7" s="17"/>
      <c r="P7" s="17"/>
      <c r="Q7" s="17"/>
      <c r="R7" s="15" t="s">
        <v>19</v>
      </c>
    </row>
    <row r="8">
      <c r="A8" s="6"/>
      <c r="B8" s="8" t="s">
        <v>1890</v>
      </c>
      <c r="C8" s="8"/>
      <c r="D8" s="8" t="s">
        <v>1891</v>
      </c>
      <c r="E8" s="8" t="s">
        <v>164</v>
      </c>
      <c r="F8" s="8" t="s">
        <v>1892</v>
      </c>
      <c r="G8" s="6"/>
      <c r="H8" s="13"/>
      <c r="I8" s="15" t="str">
        <f>=G8*J8</f>
      </c>
      <c r="J8" s="15" t="str">
        <f>IF(EXACT(K8,"V"),K$5,0)+IF(EXACT(L8,"V"),L$5,0)+IF(EXACT(M8,"V"),M$5,0)+IF(EXACT(N8,"V"),N$5,0)+IF(EXACT(O8,"V"),O$5,0)+IF(EXACT(P8,"V"),P$5,0)+IF(EXACT(Q8,"V"),Q$5,0)</f>
      </c>
      <c r="K8" s="17"/>
      <c r="L8" s="17"/>
      <c r="M8" s="17"/>
      <c r="N8" s="17"/>
      <c r="O8" s="17"/>
      <c r="P8" s="17"/>
      <c r="Q8" s="17"/>
      <c r="R8" s="15" t="s">
        <v>19</v>
      </c>
    </row>
    <row r="9">
      <c r="A9" s="6"/>
      <c r="B9" s="8" t="s">
        <v>1893</v>
      </c>
      <c r="C9" s="8"/>
      <c r="D9" s="8" t="s">
        <v>1894</v>
      </c>
      <c r="E9" s="8" t="s">
        <v>168</v>
      </c>
      <c r="F9" s="8" t="s">
        <v>1895</v>
      </c>
      <c r="G9" s="6"/>
      <c r="H9" s="13"/>
      <c r="I9" s="15" t="str">
        <f>=G9*J9</f>
      </c>
      <c r="J9" s="15" t="str">
        <f>IF(EXACT(K9,"V"),K$5,0)+IF(EXACT(L9,"V"),L$5,0)+IF(EXACT(M9,"V"),M$5,0)+IF(EXACT(N9,"V"),N$5,0)+IF(EXACT(O9,"V"),O$5,0)+IF(EXACT(P9,"V"),P$5,0)+IF(EXACT(Q9,"V"),Q$5,0)</f>
      </c>
      <c r="K9" s="17"/>
      <c r="L9" s="17"/>
      <c r="M9" s="17"/>
      <c r="N9" s="17"/>
      <c r="O9" s="17"/>
      <c r="P9" s="17"/>
      <c r="Q9" s="17"/>
      <c r="R9" s="15" t="s">
        <v>19</v>
      </c>
    </row>
    <row r="10">
      <c r="A10" s="7" t="s">
        <v>1896</v>
      </c>
      <c r="B10" s="9" t="s">
        <v>1897</v>
      </c>
      <c r="C10" s="9"/>
      <c r="D10" s="9" t="s">
        <v>1898</v>
      </c>
      <c r="E10" s="9" t="s">
        <v>292</v>
      </c>
      <c r="F10" s="9" t="s">
        <v>1899</v>
      </c>
      <c r="G10" s="7">
        <v>1</v>
      </c>
      <c r="H10" s="14" t="s">
        <v>1900</v>
      </c>
      <c r="I10" s="16" t="str">
        <f>=G10*J10</f>
      </c>
      <c r="J10" s="16" t="str">
        <f>IF(EXACT(K10,"V"),K$5,0)+IF(EXACT(L10,"V"),L$5,0)+IF(EXACT(M10,"V"),M$5,0)+IF(EXACT(N10,"V"),N$5,0)+IF(EXACT(O10,"V"),O$5,0)+IF(EXACT(P10,"V"),P$5,0)+IF(EXACT(Q10,"V"),Q$5,0)</f>
      </c>
      <c r="K10" s="18"/>
      <c r="L10" s="18"/>
      <c r="M10" s="18"/>
      <c r="N10" s="18"/>
      <c r="O10" s="18"/>
      <c r="P10" s="18"/>
      <c r="Q10" s="18"/>
      <c r="R10" s="16" t="s">
        <v>1901</v>
      </c>
    </row>
    <row r="11">
      <c r="A11" s="6" t="s">
        <v>1902</v>
      </c>
      <c r="B11" s="8" t="s">
        <v>1903</v>
      </c>
      <c r="C11" s="8"/>
      <c r="D11" s="8" t="s">
        <v>1904</v>
      </c>
      <c r="E11" s="8" t="s">
        <v>61</v>
      </c>
      <c r="F11" s="8" t="s">
        <v>1905</v>
      </c>
      <c r="G11" s="6">
        <v>1</v>
      </c>
      <c r="H11" s="13" t="s">
        <v>1906</v>
      </c>
      <c r="I11" s="15" t="str">
        <f>=G11*J11</f>
      </c>
      <c r="J11" s="15" t="str">
        <f>IF(EXACT(K11,"V"),K$5,0)+IF(EXACT(L11,"V"),L$5,0)+IF(EXACT(M11,"V"),M$5,0)+IF(EXACT(N11,"V"),N$5,0)+IF(EXACT(O11,"V"),O$5,0)+IF(EXACT(P11,"V"),P$5,0)+IF(EXACT(Q11,"V"),Q$5,0)</f>
      </c>
      <c r="K11" s="17"/>
      <c r="L11" s="17"/>
      <c r="M11" s="17"/>
      <c r="N11" s="17"/>
      <c r="O11" s="17"/>
      <c r="P11" s="17"/>
      <c r="Q11" s="17"/>
      <c r="R11" s="15" t="s">
        <v>19</v>
      </c>
    </row>
    <row r="12">
      <c r="A12" s="6"/>
      <c r="B12" s="8" t="s">
        <v>1907</v>
      </c>
      <c r="C12" s="8"/>
      <c r="D12" s="8" t="s">
        <v>1908</v>
      </c>
      <c r="E12" s="8" t="s">
        <v>197</v>
      </c>
      <c r="F12" s="8" t="s">
        <v>1909</v>
      </c>
      <c r="G12" s="6"/>
      <c r="H12" s="13"/>
      <c r="I12" s="15" t="str">
        <f>=G12*J12</f>
      </c>
      <c r="J12" s="15" t="str">
        <f>IF(EXACT(K12,"V"),K$5,0)+IF(EXACT(L12,"V"),L$5,0)+IF(EXACT(M12,"V"),M$5,0)+IF(EXACT(N12,"V"),N$5,0)+IF(EXACT(O12,"V"),O$5,0)+IF(EXACT(P12,"V"),P$5,0)+IF(EXACT(Q12,"V"),Q$5,0)</f>
      </c>
      <c r="K12" s="17"/>
      <c r="L12" s="17"/>
      <c r="M12" s="17"/>
      <c r="N12" s="17"/>
      <c r="O12" s="17"/>
      <c r="P12" s="17"/>
      <c r="Q12" s="17"/>
      <c r="R12" s="15" t="s">
        <v>19</v>
      </c>
    </row>
    <row r="13">
      <c r="A13" s="6"/>
      <c r="B13" s="8" t="s">
        <v>1910</v>
      </c>
      <c r="C13" s="8"/>
      <c r="D13" s="8" t="s">
        <v>1911</v>
      </c>
      <c r="E13" s="8" t="s">
        <v>108</v>
      </c>
      <c r="F13" s="8" t="s">
        <v>1912</v>
      </c>
      <c r="G13" s="6"/>
      <c r="H13" s="13"/>
      <c r="I13" s="15" t="str">
        <f>=G13*J13</f>
      </c>
      <c r="J13" s="15" t="str">
        <f>IF(EXACT(K13,"V"),K$5,0)+IF(EXACT(L13,"V"),L$5,0)+IF(EXACT(M13,"V"),M$5,0)+IF(EXACT(N13,"V"),N$5,0)+IF(EXACT(O13,"V"),O$5,0)+IF(EXACT(P13,"V"),P$5,0)+IF(EXACT(Q13,"V"),Q$5,0)</f>
      </c>
      <c r="K13" s="17"/>
      <c r="L13" s="17"/>
      <c r="M13" s="17"/>
      <c r="N13" s="17"/>
      <c r="O13" s="17"/>
      <c r="P13" s="17"/>
      <c r="Q13" s="17"/>
      <c r="R13" s="15" t="s">
        <v>19</v>
      </c>
    </row>
    <row r="14">
      <c r="A14" s="6"/>
      <c r="B14" s="8" t="s">
        <v>1913</v>
      </c>
      <c r="C14" s="8"/>
      <c r="D14" s="8" t="s">
        <v>1914</v>
      </c>
      <c r="E14" s="8" t="s">
        <v>126</v>
      </c>
      <c r="F14" s="8" t="s">
        <v>1915</v>
      </c>
      <c r="G14" s="6"/>
      <c r="H14" s="13"/>
      <c r="I14" s="15" t="str">
        <f>=G14*J14</f>
      </c>
      <c r="J14" s="15" t="str">
        <f>IF(EXACT(K14,"V"),K$5,0)+IF(EXACT(L14,"V"),L$5,0)+IF(EXACT(M14,"V"),M$5,0)+IF(EXACT(N14,"V"),N$5,0)+IF(EXACT(O14,"V"),O$5,0)+IF(EXACT(P14,"V"),P$5,0)+IF(EXACT(Q14,"V"),Q$5,0)</f>
      </c>
      <c r="K14" s="17"/>
      <c r="L14" s="17"/>
      <c r="M14" s="17"/>
      <c r="N14" s="17"/>
      <c r="O14" s="17"/>
      <c r="P14" s="17"/>
      <c r="Q14" s="17"/>
      <c r="R14" s="15" t="s">
        <v>1916</v>
      </c>
    </row>
    <row r="15">
      <c r="A15" s="6"/>
      <c r="B15" s="8" t="s">
        <v>1917</v>
      </c>
      <c r="C15" s="8"/>
      <c r="D15" s="8" t="s">
        <v>1918</v>
      </c>
      <c r="E15" s="8" t="s">
        <v>416</v>
      </c>
      <c r="F15" s="8" t="s">
        <v>1919</v>
      </c>
      <c r="G15" s="6"/>
      <c r="H15" s="13"/>
      <c r="I15" s="15" t="str">
        <f>=G15*J15</f>
      </c>
      <c r="J15" s="15" t="str">
        <f>IF(EXACT(K15,"V"),K$5,0)+IF(EXACT(L15,"V"),L$5,0)+IF(EXACT(M15,"V"),M$5,0)+IF(EXACT(N15,"V"),N$5,0)+IF(EXACT(O15,"V"),O$5,0)+IF(EXACT(P15,"V"),P$5,0)+IF(EXACT(Q15,"V"),Q$5,0)</f>
      </c>
      <c r="K15" s="17"/>
      <c r="L15" s="17"/>
      <c r="M15" s="17"/>
      <c r="N15" s="17"/>
      <c r="O15" s="17"/>
      <c r="P15" s="17"/>
      <c r="Q15" s="17"/>
      <c r="R15" s="15" t="s">
        <v>19</v>
      </c>
    </row>
    <row r="16">
      <c r="A16" s="6"/>
      <c r="B16" s="8" t="s">
        <v>1920</v>
      </c>
      <c r="C16" s="8"/>
      <c r="D16" s="8" t="s">
        <v>1921</v>
      </c>
      <c r="E16" s="8" t="s">
        <v>112</v>
      </c>
      <c r="F16" s="8" t="s">
        <v>1912</v>
      </c>
      <c r="G16" s="6"/>
      <c r="H16" s="13"/>
      <c r="I16" s="15" t="str">
        <f>=G16*J16</f>
      </c>
      <c r="J16" s="15" t="str">
        <f>IF(EXACT(K16,"V"),K$5,0)+IF(EXACT(L16,"V"),L$5,0)+IF(EXACT(M16,"V"),M$5,0)+IF(EXACT(N16,"V"),N$5,0)+IF(EXACT(O16,"V"),O$5,0)+IF(EXACT(P16,"V"),P$5,0)+IF(EXACT(Q16,"V"),Q$5,0)</f>
      </c>
      <c r="K16" s="17"/>
      <c r="L16" s="17"/>
      <c r="M16" s="17"/>
      <c r="N16" s="17"/>
      <c r="O16" s="17"/>
      <c r="P16" s="17"/>
      <c r="Q16" s="17"/>
      <c r="R16" s="15" t="s">
        <v>19</v>
      </c>
    </row>
    <row r="17">
      <c r="A17" s="6"/>
      <c r="B17" s="8" t="s">
        <v>1922</v>
      </c>
      <c r="C17" s="8"/>
      <c r="D17" s="8" t="s">
        <v>1923</v>
      </c>
      <c r="E17" s="8" t="s">
        <v>203</v>
      </c>
      <c r="F17" s="8" t="s">
        <v>1912</v>
      </c>
      <c r="G17" s="6"/>
      <c r="H17" s="13"/>
      <c r="I17" s="15" t="str">
        <f>=G17*J17</f>
      </c>
      <c r="J17" s="15" t="str">
        <f>IF(EXACT(K17,"V"),K$5,0)+IF(EXACT(L17,"V"),L$5,0)+IF(EXACT(M17,"V"),M$5,0)+IF(EXACT(N17,"V"),N$5,0)+IF(EXACT(O17,"V"),O$5,0)+IF(EXACT(P17,"V"),P$5,0)+IF(EXACT(Q17,"V"),Q$5,0)</f>
      </c>
      <c r="K17" s="17"/>
      <c r="L17" s="17"/>
      <c r="M17" s="17"/>
      <c r="N17" s="17"/>
      <c r="O17" s="17"/>
      <c r="P17" s="17"/>
      <c r="Q17" s="17"/>
      <c r="R17" s="15" t="s">
        <v>19</v>
      </c>
    </row>
    <row r="18">
      <c r="A18" s="6"/>
      <c r="B18" s="8" t="s">
        <v>1924</v>
      </c>
      <c r="C18" s="8"/>
      <c r="D18" s="8" t="s">
        <v>1925</v>
      </c>
      <c r="E18" s="8" t="s">
        <v>115</v>
      </c>
      <c r="F18" s="8" t="s">
        <v>1926</v>
      </c>
      <c r="G18" s="6"/>
      <c r="H18" s="13"/>
      <c r="I18" s="15" t="str">
        <f>=G18*J18</f>
      </c>
      <c r="J18" s="15" t="str">
        <f>IF(EXACT(K18,"V"),K$5,0)+IF(EXACT(L18,"V"),L$5,0)+IF(EXACT(M18,"V"),M$5,0)+IF(EXACT(N18,"V"),N$5,0)+IF(EXACT(O18,"V"),O$5,0)+IF(EXACT(P18,"V"),P$5,0)+IF(EXACT(Q18,"V"),Q$5,0)</f>
      </c>
      <c r="K18" s="17"/>
      <c r="L18" s="17"/>
      <c r="M18" s="17"/>
      <c r="N18" s="17"/>
      <c r="O18" s="17"/>
      <c r="P18" s="17"/>
      <c r="Q18" s="17"/>
      <c r="R18" s="15" t="s">
        <v>19</v>
      </c>
    </row>
    <row r="19">
      <c r="A19" s="6"/>
      <c r="B19" s="8" t="s">
        <v>1927</v>
      </c>
      <c r="C19" s="8"/>
      <c r="D19" s="8" t="s">
        <v>1928</v>
      </c>
      <c r="E19" s="8" t="s">
        <v>423</v>
      </c>
      <c r="F19" s="8" t="s">
        <v>1929</v>
      </c>
      <c r="G19" s="6"/>
      <c r="H19" s="13"/>
      <c r="I19" s="15" t="str">
        <f>=G19*J19</f>
      </c>
      <c r="J19" s="15" t="str">
        <f>IF(EXACT(K19,"V"),K$5,0)+IF(EXACT(L19,"V"),L$5,0)+IF(EXACT(M19,"V"),M$5,0)+IF(EXACT(N19,"V"),N$5,0)+IF(EXACT(O19,"V"),O$5,0)+IF(EXACT(P19,"V"),P$5,0)+IF(EXACT(Q19,"V"),Q$5,0)</f>
      </c>
      <c r="K19" s="17"/>
      <c r="L19" s="17"/>
      <c r="M19" s="17"/>
      <c r="N19" s="17"/>
      <c r="O19" s="17"/>
      <c r="P19" s="17"/>
      <c r="Q19" s="17"/>
      <c r="R19" s="15" t="s">
        <v>19</v>
      </c>
    </row>
    <row r="20">
      <c r="A20" s="7" t="s">
        <v>1930</v>
      </c>
      <c r="B20" s="9" t="s">
        <v>1931</v>
      </c>
      <c r="C20" s="9"/>
      <c r="D20" s="9" t="s">
        <v>1932</v>
      </c>
      <c r="E20" s="9" t="s">
        <v>95</v>
      </c>
      <c r="F20" s="9" t="s">
        <v>1933</v>
      </c>
      <c r="G20" s="7">
        <v>1</v>
      </c>
      <c r="H20" s="14" t="s">
        <v>1934</v>
      </c>
      <c r="I20" s="16" t="str">
        <f>=G20*J20</f>
      </c>
      <c r="J20" s="16" t="str">
        <f>IF(EXACT(K20,"V"),K$5,0)+IF(EXACT(L20,"V"),L$5,0)+IF(EXACT(M20,"V"),M$5,0)+IF(EXACT(N20,"V"),N$5,0)+IF(EXACT(O20,"V"),O$5,0)+IF(EXACT(P20,"V"),P$5,0)+IF(EXACT(Q20,"V"),Q$5,0)</f>
      </c>
      <c r="K20" s="18"/>
      <c r="L20" s="18"/>
      <c r="M20" s="18"/>
      <c r="N20" s="18"/>
      <c r="O20" s="18"/>
      <c r="P20" s="18"/>
      <c r="Q20" s="18"/>
      <c r="R20" s="16" t="s">
        <v>19</v>
      </c>
    </row>
    <row r="21">
      <c r="A21" s="7"/>
      <c r="B21" s="9" t="s">
        <v>1935</v>
      </c>
      <c r="C21" s="9"/>
      <c r="D21" s="9" t="s">
        <v>1936</v>
      </c>
      <c r="E21" s="9" t="s">
        <v>1762</v>
      </c>
      <c r="F21" s="9" t="s">
        <v>1937</v>
      </c>
      <c r="G21" s="7"/>
      <c r="H21" s="14"/>
      <c r="I21" s="16" t="str">
        <f>=G21*J21</f>
      </c>
      <c r="J21" s="16" t="str">
        <f>IF(EXACT(K21,"V"),K$5,0)+IF(EXACT(L21,"V"),L$5,0)+IF(EXACT(M21,"V"),M$5,0)+IF(EXACT(N21,"V"),N$5,0)+IF(EXACT(O21,"V"),O$5,0)+IF(EXACT(P21,"V"),P$5,0)+IF(EXACT(Q21,"V"),Q$5,0)</f>
      </c>
      <c r="K21" s="18"/>
      <c r="L21" s="18"/>
      <c r="M21" s="18"/>
      <c r="N21" s="18"/>
      <c r="O21" s="18"/>
      <c r="P21" s="18"/>
      <c r="Q21" s="18"/>
      <c r="R21" s="16" t="s">
        <v>19</v>
      </c>
    </row>
    <row r="22">
      <c r="A22" s="7"/>
      <c r="B22" s="9" t="s">
        <v>1938</v>
      </c>
      <c r="C22" s="9"/>
      <c r="D22" s="9" t="s">
        <v>1932</v>
      </c>
      <c r="E22" s="9" t="s">
        <v>622</v>
      </c>
      <c r="F22" s="9" t="s">
        <v>1939</v>
      </c>
      <c r="G22" s="7"/>
      <c r="H22" s="14"/>
      <c r="I22" s="16" t="str">
        <f>=G22*J22</f>
      </c>
      <c r="J22" s="16" t="str">
        <f>IF(EXACT(K22,"V"),K$5,0)+IF(EXACT(L22,"V"),L$5,0)+IF(EXACT(M22,"V"),M$5,0)+IF(EXACT(N22,"V"),N$5,0)+IF(EXACT(O22,"V"),O$5,0)+IF(EXACT(P22,"V"),P$5,0)+IF(EXACT(Q22,"V"),Q$5,0)</f>
      </c>
      <c r="K22" s="18"/>
      <c r="L22" s="18"/>
      <c r="M22" s="18"/>
      <c r="N22" s="18"/>
      <c r="O22" s="18"/>
      <c r="P22" s="18"/>
      <c r="Q22" s="18"/>
      <c r="R22" s="16" t="s">
        <v>19</v>
      </c>
    </row>
    <row r="23">
      <c r="A23" s="6" t="s">
        <v>1940</v>
      </c>
      <c r="B23" s="8" t="s">
        <v>1941</v>
      </c>
      <c r="C23" s="8"/>
      <c r="D23" s="8" t="s">
        <v>1942</v>
      </c>
      <c r="E23" s="8" t="s">
        <v>99</v>
      </c>
      <c r="F23" s="8" t="s">
        <v>1943</v>
      </c>
      <c r="G23" s="6">
        <v>1</v>
      </c>
      <c r="H23" s="13" t="s">
        <v>1944</v>
      </c>
      <c r="I23" s="15" t="str">
        <f>=G23*J23</f>
      </c>
      <c r="J23" s="15" t="str">
        <f>IF(EXACT(K23,"V"),K$5,0)+IF(EXACT(L23,"V"),L$5,0)+IF(EXACT(M23,"V"),M$5,0)+IF(EXACT(N23,"V"),N$5,0)+IF(EXACT(O23,"V"),O$5,0)+IF(EXACT(P23,"V"),P$5,0)+IF(EXACT(Q23,"V"),Q$5,0)</f>
      </c>
      <c r="K23" s="17"/>
      <c r="L23" s="17"/>
      <c r="M23" s="17"/>
      <c r="N23" s="17"/>
      <c r="O23" s="17"/>
      <c r="P23" s="17"/>
      <c r="Q23" s="17"/>
      <c r="R23" s="15" t="s">
        <v>19</v>
      </c>
    </row>
    <row r="24">
      <c r="A24" s="7" t="s">
        <v>1945</v>
      </c>
      <c r="B24" s="9" t="s">
        <v>1946</v>
      </c>
      <c r="C24" s="9"/>
      <c r="D24" s="9" t="s">
        <v>1947</v>
      </c>
      <c r="E24" s="9" t="s">
        <v>701</v>
      </c>
      <c r="F24" s="9" t="s">
        <v>1948</v>
      </c>
      <c r="G24" s="7">
        <v>1</v>
      </c>
      <c r="H24" s="14" t="s">
        <v>1949</v>
      </c>
      <c r="I24" s="16" t="str">
        <f>=G24*J24</f>
      </c>
      <c r="J24" s="16" t="str">
        <f>IF(EXACT(K24,"V"),K$5,0)+IF(EXACT(L24,"V"),L$5,0)+IF(EXACT(M24,"V"),M$5,0)+IF(EXACT(N24,"V"),N$5,0)+IF(EXACT(O24,"V"),O$5,0)+IF(EXACT(P24,"V"),P$5,0)+IF(EXACT(Q24,"V"),Q$5,0)</f>
      </c>
      <c r="K24" s="18"/>
      <c r="L24" s="18"/>
      <c r="M24" s="18"/>
      <c r="N24" s="18"/>
      <c r="O24" s="18"/>
      <c r="P24" s="18"/>
      <c r="Q24" s="18"/>
      <c r="R24" s="16" t="s">
        <v>19</v>
      </c>
    </row>
    <row r="25">
      <c r="A25" s="7"/>
      <c r="B25" s="9" t="s">
        <v>1950</v>
      </c>
      <c r="C25" s="9"/>
      <c r="D25" s="9" t="s">
        <v>1951</v>
      </c>
      <c r="E25" s="9" t="s">
        <v>689</v>
      </c>
      <c r="F25" s="9" t="s">
        <v>1952</v>
      </c>
      <c r="G25" s="7"/>
      <c r="H25" s="14"/>
      <c r="I25" s="16" t="str">
        <f>=G25*J25</f>
      </c>
      <c r="J25" s="16" t="str">
        <f>IF(EXACT(K25,"V"),K$5,0)+IF(EXACT(L25,"V"),L$5,0)+IF(EXACT(M25,"V"),M$5,0)+IF(EXACT(N25,"V"),N$5,0)+IF(EXACT(O25,"V"),O$5,0)+IF(EXACT(P25,"V"),P$5,0)+IF(EXACT(Q25,"V"),Q$5,0)</f>
      </c>
      <c r="K25" s="18"/>
      <c r="L25" s="18"/>
      <c r="M25" s="18"/>
      <c r="N25" s="18"/>
      <c r="O25" s="18"/>
      <c r="P25" s="18"/>
      <c r="Q25" s="18"/>
      <c r="R25" s="16" t="s">
        <v>19</v>
      </c>
    </row>
    <row r="26">
      <c r="A26" s="7"/>
      <c r="B26" s="9" t="s">
        <v>1953</v>
      </c>
      <c r="C26" s="9"/>
      <c r="D26" s="9" t="s">
        <v>1954</v>
      </c>
      <c r="E26" s="9" t="s">
        <v>689</v>
      </c>
      <c r="F26" s="9" t="s">
        <v>1955</v>
      </c>
      <c r="G26" s="7"/>
      <c r="H26" s="14"/>
      <c r="I26" s="16" t="str">
        <f>=G26*J26</f>
      </c>
      <c r="J26" s="16" t="str">
        <f>IF(EXACT(K26,"V"),K$5,0)+IF(EXACT(L26,"V"),L$5,0)+IF(EXACT(M26,"V"),M$5,0)+IF(EXACT(N26,"V"),N$5,0)+IF(EXACT(O26,"V"),O$5,0)+IF(EXACT(P26,"V"),P$5,0)+IF(EXACT(Q26,"V"),Q$5,0)</f>
      </c>
      <c r="K26" s="18"/>
      <c r="L26" s="18"/>
      <c r="M26" s="18"/>
      <c r="N26" s="18"/>
      <c r="O26" s="18"/>
      <c r="P26" s="18"/>
      <c r="Q26" s="18"/>
      <c r="R26" s="16" t="s">
        <v>19</v>
      </c>
    </row>
    <row r="27">
      <c r="A27" s="7"/>
      <c r="B27" s="9" t="s">
        <v>1956</v>
      </c>
      <c r="C27" s="9"/>
      <c r="D27" s="9" t="s">
        <v>1957</v>
      </c>
      <c r="E27" s="9" t="s">
        <v>403</v>
      </c>
      <c r="F27" s="9" t="s">
        <v>1958</v>
      </c>
      <c r="G27" s="7"/>
      <c r="H27" s="14"/>
      <c r="I27" s="16" t="str">
        <f>=G27*J27</f>
      </c>
      <c r="J27" s="16" t="str">
        <f>IF(EXACT(K27,"V"),K$5,0)+IF(EXACT(L27,"V"),L$5,0)+IF(EXACT(M27,"V"),M$5,0)+IF(EXACT(N27,"V"),N$5,0)+IF(EXACT(O27,"V"),O$5,0)+IF(EXACT(P27,"V"),P$5,0)+IF(EXACT(Q27,"V"),Q$5,0)</f>
      </c>
      <c r="K27" s="18"/>
      <c r="L27" s="18"/>
      <c r="M27" s="18"/>
      <c r="N27" s="18"/>
      <c r="O27" s="18"/>
      <c r="P27" s="18"/>
      <c r="Q27" s="18"/>
      <c r="R27" s="16" t="s">
        <v>19</v>
      </c>
    </row>
    <row r="28">
      <c r="A28" s="6" t="s">
        <v>1959</v>
      </c>
      <c r="B28" s="8" t="s">
        <v>1960</v>
      </c>
      <c r="C28" s="8"/>
      <c r="D28" s="8" t="s">
        <v>1961</v>
      </c>
      <c r="E28" s="8" t="s">
        <v>1962</v>
      </c>
      <c r="F28" s="8" t="s">
        <v>1963</v>
      </c>
      <c r="G28" s="6">
        <v>1</v>
      </c>
      <c r="H28" s="13" t="s">
        <v>1964</v>
      </c>
      <c r="I28" s="15" t="str">
        <f>=G28*J28</f>
      </c>
      <c r="J28" s="15" t="str">
        <f>IF(EXACT(K28,"V"),K$5,0)+IF(EXACT(L28,"V"),L$5,0)+IF(EXACT(M28,"V"),M$5,0)+IF(EXACT(N28,"V"),N$5,0)+IF(EXACT(O28,"V"),O$5,0)+IF(EXACT(P28,"V"),P$5,0)+IF(EXACT(Q28,"V"),Q$5,0)</f>
      </c>
      <c r="K28" s="17"/>
      <c r="L28" s="17"/>
      <c r="M28" s="17"/>
      <c r="N28" s="17"/>
      <c r="O28" s="17"/>
      <c r="P28" s="17"/>
      <c r="Q28" s="17"/>
      <c r="R28" s="15" t="s">
        <v>19</v>
      </c>
    </row>
    <row r="29">
      <c r="A29" s="7" t="s">
        <v>1965</v>
      </c>
      <c r="B29" s="9" t="s">
        <v>1966</v>
      </c>
      <c r="C29" s="9"/>
      <c r="D29" s="9" t="s">
        <v>1967</v>
      </c>
      <c r="E29" s="9" t="s">
        <v>1249</v>
      </c>
      <c r="F29" s="9" t="s">
        <v>1968</v>
      </c>
      <c r="G29" s="7">
        <v>1</v>
      </c>
      <c r="H29" s="14" t="s">
        <v>1969</v>
      </c>
      <c r="I29" s="16" t="str">
        <f>=G29*J29</f>
      </c>
      <c r="J29" s="16" t="str">
        <f>IF(EXACT(K29,"V"),K$5,0)+IF(EXACT(L29,"V"),L$5,0)+IF(EXACT(M29,"V"),M$5,0)+IF(EXACT(N29,"V"),N$5,0)+IF(EXACT(O29,"V"),O$5,0)+IF(EXACT(P29,"V"),P$5,0)+IF(EXACT(Q29,"V"),Q$5,0)</f>
      </c>
      <c r="K29" s="18"/>
      <c r="L29" s="18"/>
      <c r="M29" s="18"/>
      <c r="N29" s="18"/>
      <c r="O29" s="18"/>
      <c r="P29" s="18"/>
      <c r="Q29" s="18"/>
      <c r="R29" s="16" t="s">
        <v>19</v>
      </c>
    </row>
    <row r="30">
      <c r="A30" s="6" t="s">
        <v>1970</v>
      </c>
      <c r="B30" s="8" t="s">
        <v>1971</v>
      </c>
      <c r="C30" s="8"/>
      <c r="D30" s="8" t="s">
        <v>1972</v>
      </c>
      <c r="E30" s="8" t="s">
        <v>23</v>
      </c>
      <c r="F30" s="8" t="s">
        <v>1973</v>
      </c>
      <c r="G30" s="6">
        <v>6</v>
      </c>
      <c r="H30" s="13" t="s">
        <v>1974</v>
      </c>
      <c r="I30" s="15" t="str">
        <f>=G30*J30</f>
      </c>
      <c r="J30" s="15" t="str">
        <f>IF(EXACT(K30,"V"),K$5,0)+IF(EXACT(L30,"V"),L$5,0)+IF(EXACT(M30,"V"),M$5,0)+IF(EXACT(N30,"V"),N$5,0)+IF(EXACT(O30,"V"),O$5,0)+IF(EXACT(P30,"V"),P$5,0)+IF(EXACT(Q30,"V"),Q$5,0)</f>
      </c>
      <c r="K30" s="17"/>
      <c r="L30" s="17"/>
      <c r="M30" s="17"/>
      <c r="N30" s="17"/>
      <c r="O30" s="17"/>
      <c r="P30" s="17"/>
      <c r="Q30" s="17"/>
      <c r="R30" s="15" t="s">
        <v>19</v>
      </c>
    </row>
    <row r="31">
      <c r="A31" s="6"/>
      <c r="B31" s="8" t="s">
        <v>1975</v>
      </c>
      <c r="C31" s="8"/>
      <c r="D31" s="8" t="s">
        <v>1976</v>
      </c>
      <c r="E31" s="8" t="s">
        <v>185</v>
      </c>
      <c r="F31" s="8" t="s">
        <v>1977</v>
      </c>
      <c r="G31" s="6"/>
      <c r="H31" s="13"/>
      <c r="I31" s="15" t="str">
        <f>=G31*J31</f>
      </c>
      <c r="J31" s="15" t="str">
        <f>IF(EXACT(K31,"V"),K$5,0)+IF(EXACT(L31,"V"),L$5,0)+IF(EXACT(M31,"V"),M$5,0)+IF(EXACT(N31,"V"),N$5,0)+IF(EXACT(O31,"V"),O$5,0)+IF(EXACT(P31,"V"),P$5,0)+IF(EXACT(Q31,"V"),Q$5,0)</f>
      </c>
      <c r="K31" s="17"/>
      <c r="L31" s="17"/>
      <c r="M31" s="17"/>
      <c r="N31" s="17"/>
      <c r="O31" s="17"/>
      <c r="P31" s="17"/>
      <c r="Q31" s="17"/>
      <c r="R31" s="15" t="s">
        <v>19</v>
      </c>
    </row>
    <row r="32">
      <c r="A32" s="6"/>
      <c r="B32" s="8" t="s">
        <v>1978</v>
      </c>
      <c r="C32" s="8"/>
      <c r="D32" s="8" t="s">
        <v>1979</v>
      </c>
      <c r="E32" s="8" t="s">
        <v>57</v>
      </c>
      <c r="F32" s="8" t="s">
        <v>1980</v>
      </c>
      <c r="G32" s="6"/>
      <c r="H32" s="13"/>
      <c r="I32" s="15" t="str">
        <f>=G32*J32</f>
      </c>
      <c r="J32" s="15" t="str">
        <f>IF(EXACT(K32,"V"),K$5,0)+IF(EXACT(L32,"V"),L$5,0)+IF(EXACT(M32,"V"),M$5,0)+IF(EXACT(N32,"V"),N$5,0)+IF(EXACT(O32,"V"),O$5,0)+IF(EXACT(P32,"V"),P$5,0)+IF(EXACT(Q32,"V"),Q$5,0)</f>
      </c>
      <c r="K32" s="17"/>
      <c r="L32" s="17"/>
      <c r="M32" s="17"/>
      <c r="N32" s="17"/>
      <c r="O32" s="17"/>
      <c r="P32" s="17"/>
      <c r="Q32" s="17"/>
      <c r="R32" s="15" t="s">
        <v>19</v>
      </c>
    </row>
    <row r="33">
      <c r="A33" s="6"/>
      <c r="B33" s="8" t="s">
        <v>1981</v>
      </c>
      <c r="C33" s="8"/>
      <c r="D33" s="8" t="s">
        <v>1982</v>
      </c>
      <c r="E33" s="8" t="s">
        <v>197</v>
      </c>
      <c r="F33" s="8" t="s">
        <v>1983</v>
      </c>
      <c r="G33" s="6"/>
      <c r="H33" s="13"/>
      <c r="I33" s="15" t="str">
        <f>=G33*J33</f>
      </c>
      <c r="J33" s="15" t="str">
        <f>IF(EXACT(K33,"V"),K$5,0)+IF(EXACT(L33,"V"),L$5,0)+IF(EXACT(M33,"V"),M$5,0)+IF(EXACT(N33,"V"),N$5,0)+IF(EXACT(O33,"V"),O$5,0)+IF(EXACT(P33,"V"),P$5,0)+IF(EXACT(Q33,"V"),Q$5,0)</f>
      </c>
      <c r="K33" s="17"/>
      <c r="L33" s="17"/>
      <c r="M33" s="17"/>
      <c r="N33" s="17"/>
      <c r="O33" s="17"/>
      <c r="P33" s="17"/>
      <c r="Q33" s="17"/>
      <c r="R33" s="15" t="s">
        <v>19</v>
      </c>
    </row>
    <row r="34">
      <c r="A34" s="6"/>
      <c r="B34" s="8" t="s">
        <v>1984</v>
      </c>
      <c r="C34" s="8"/>
      <c r="D34" s="8" t="s">
        <v>1985</v>
      </c>
      <c r="E34" s="8" t="s">
        <v>112</v>
      </c>
      <c r="F34" s="8" t="s">
        <v>1986</v>
      </c>
      <c r="G34" s="6"/>
      <c r="H34" s="13"/>
      <c r="I34" s="15" t="str">
        <f>=G34*J34</f>
      </c>
      <c r="J34" s="15" t="str">
        <f>IF(EXACT(K34,"V"),K$5,0)+IF(EXACT(L34,"V"),L$5,0)+IF(EXACT(M34,"V"),M$5,0)+IF(EXACT(N34,"V"),N$5,0)+IF(EXACT(O34,"V"),O$5,0)+IF(EXACT(P34,"V"),P$5,0)+IF(EXACT(Q34,"V"),Q$5,0)</f>
      </c>
      <c r="K34" s="17"/>
      <c r="L34" s="17"/>
      <c r="M34" s="17"/>
      <c r="N34" s="17"/>
      <c r="O34" s="17"/>
      <c r="P34" s="17"/>
      <c r="Q34" s="17"/>
      <c r="R34" s="15" t="s">
        <v>19</v>
      </c>
    </row>
    <row r="35">
      <c r="A35" s="6"/>
      <c r="B35" s="8" t="s">
        <v>1987</v>
      </c>
      <c r="C35" s="8"/>
      <c r="D35" s="8" t="s">
        <v>1988</v>
      </c>
      <c r="E35" s="8" t="s">
        <v>65</v>
      </c>
      <c r="F35" s="8" t="s">
        <v>1989</v>
      </c>
      <c r="G35" s="6"/>
      <c r="H35" s="13"/>
      <c r="I35" s="15" t="str">
        <f>=G35*J35</f>
      </c>
      <c r="J35" s="15" t="str">
        <f>IF(EXACT(K35,"V"),K$5,0)+IF(EXACT(L35,"V"),L$5,0)+IF(EXACT(M35,"V"),M$5,0)+IF(EXACT(N35,"V"),N$5,0)+IF(EXACT(O35,"V"),O$5,0)+IF(EXACT(P35,"V"),P$5,0)+IF(EXACT(Q35,"V"),Q$5,0)</f>
      </c>
      <c r="K35" s="17"/>
      <c r="L35" s="17"/>
      <c r="M35" s="17"/>
      <c r="N35" s="17"/>
      <c r="O35" s="17"/>
      <c r="P35" s="17"/>
      <c r="Q35" s="17"/>
      <c r="R35" s="15" t="s">
        <v>19</v>
      </c>
    </row>
    <row r="36">
      <c r="A36" s="6"/>
      <c r="B36" s="8" t="s">
        <v>1990</v>
      </c>
      <c r="C36" s="8"/>
      <c r="D36" s="8" t="s">
        <v>1991</v>
      </c>
      <c r="E36" s="8" t="s">
        <v>69</v>
      </c>
      <c r="F36" s="8" t="s">
        <v>1992</v>
      </c>
      <c r="G36" s="6"/>
      <c r="H36" s="13"/>
      <c r="I36" s="15" t="str">
        <f>=G36*J36</f>
      </c>
      <c r="J36" s="15" t="str">
        <f>IF(EXACT(K36,"V"),K$5,0)+IF(EXACT(L36,"V"),L$5,0)+IF(EXACT(M36,"V"),M$5,0)+IF(EXACT(N36,"V"),N$5,0)+IF(EXACT(O36,"V"),O$5,0)+IF(EXACT(P36,"V"),P$5,0)+IF(EXACT(Q36,"V"),Q$5,0)</f>
      </c>
      <c r="K36" s="17"/>
      <c r="L36" s="17"/>
      <c r="M36" s="17"/>
      <c r="N36" s="17"/>
      <c r="O36" s="17"/>
      <c r="P36" s="17"/>
      <c r="Q36" s="17"/>
      <c r="R36" s="15" t="s">
        <v>19</v>
      </c>
    </row>
    <row r="37">
      <c r="A37" s="7" t="s">
        <v>1993</v>
      </c>
      <c r="B37" s="9" t="s">
        <v>1994</v>
      </c>
      <c r="C37" s="9"/>
      <c r="D37" s="9" t="s">
        <v>1995</v>
      </c>
      <c r="E37" s="9" t="s">
        <v>28</v>
      </c>
      <c r="F37" s="9" t="s">
        <v>1996</v>
      </c>
      <c r="G37" s="7">
        <v>3</v>
      </c>
      <c r="H37" s="14" t="s">
        <v>1997</v>
      </c>
      <c r="I37" s="16" t="str">
        <f>=G37*J37</f>
      </c>
      <c r="J37" s="16" t="str">
        <f>IF(EXACT(K37,"V"),K$5,0)+IF(EXACT(L37,"V"),L$5,0)+IF(EXACT(M37,"V"),M$5,0)+IF(EXACT(N37,"V"),N$5,0)+IF(EXACT(O37,"V"),O$5,0)+IF(EXACT(P37,"V"),P$5,0)+IF(EXACT(Q37,"V"),Q$5,0)</f>
      </c>
      <c r="K37" s="18"/>
      <c r="L37" s="18"/>
      <c r="M37" s="18"/>
      <c r="N37" s="18"/>
      <c r="O37" s="18"/>
      <c r="P37" s="18"/>
      <c r="Q37" s="18"/>
      <c r="R37" s="16" t="s">
        <v>19</v>
      </c>
    </row>
    <row r="38">
      <c r="A38" s="7"/>
      <c r="B38" s="9" t="s">
        <v>1998</v>
      </c>
      <c r="C38" s="9"/>
      <c r="D38" s="9" t="s">
        <v>1995</v>
      </c>
      <c r="E38" s="9" t="s">
        <v>99</v>
      </c>
      <c r="F38" s="9" t="s">
        <v>1999</v>
      </c>
      <c r="G38" s="7"/>
      <c r="H38" s="14"/>
      <c r="I38" s="16" t="str">
        <f>=G38*J38</f>
      </c>
      <c r="J38" s="16" t="str">
        <f>IF(EXACT(K38,"V"),K$5,0)+IF(EXACT(L38,"V"),L$5,0)+IF(EXACT(M38,"V"),M$5,0)+IF(EXACT(N38,"V"),N$5,0)+IF(EXACT(O38,"V"),O$5,0)+IF(EXACT(P38,"V"),P$5,0)+IF(EXACT(Q38,"V"),Q$5,0)</f>
      </c>
      <c r="K38" s="18"/>
      <c r="L38" s="18"/>
      <c r="M38" s="18"/>
      <c r="N38" s="18"/>
      <c r="O38" s="18"/>
      <c r="P38" s="18"/>
      <c r="Q38" s="18"/>
      <c r="R38" s="16" t="s">
        <v>19</v>
      </c>
    </row>
    <row r="39">
      <c r="A39" s="6" t="s">
        <v>2000</v>
      </c>
      <c r="B39" s="8" t="s">
        <v>2001</v>
      </c>
      <c r="C39" s="8"/>
      <c r="D39" s="8" t="s">
        <v>2002</v>
      </c>
      <c r="E39" s="8" t="s">
        <v>605</v>
      </c>
      <c r="F39" s="8" t="s">
        <v>2003</v>
      </c>
      <c r="G39" s="6">
        <v>1</v>
      </c>
      <c r="H39" s="13" t="s">
        <v>2004</v>
      </c>
      <c r="I39" s="15" t="str">
        <f>=G39*J39</f>
      </c>
      <c r="J39" s="15" t="str">
        <f>IF(EXACT(K39,"V"),K$5,0)+IF(EXACT(L39,"V"),L$5,0)+IF(EXACT(M39,"V"),M$5,0)+IF(EXACT(N39,"V"),N$5,0)+IF(EXACT(O39,"V"),O$5,0)+IF(EXACT(P39,"V"),P$5,0)+IF(EXACT(Q39,"V"),Q$5,0)</f>
      </c>
      <c r="K39" s="17"/>
      <c r="L39" s="17"/>
      <c r="M39" s="17"/>
      <c r="N39" s="17"/>
      <c r="O39" s="17"/>
      <c r="P39" s="17"/>
      <c r="Q39" s="17"/>
      <c r="R39" s="15" t="s">
        <v>19</v>
      </c>
    </row>
    <row r="40">
      <c r="A40" s="6"/>
      <c r="B40" s="8" t="s">
        <v>2005</v>
      </c>
      <c r="C40" s="8"/>
      <c r="D40" s="8" t="s">
        <v>2002</v>
      </c>
      <c r="E40" s="8" t="s">
        <v>754</v>
      </c>
      <c r="F40" s="8" t="s">
        <v>2006</v>
      </c>
      <c r="G40" s="6"/>
      <c r="H40" s="13"/>
      <c r="I40" s="15" t="str">
        <f>=G40*J40</f>
      </c>
      <c r="J40" s="15" t="str">
        <f>IF(EXACT(K40,"V"),K$5,0)+IF(EXACT(L40,"V"),L$5,0)+IF(EXACT(M40,"V"),M$5,0)+IF(EXACT(N40,"V"),N$5,0)+IF(EXACT(O40,"V"),O$5,0)+IF(EXACT(P40,"V"),P$5,0)+IF(EXACT(Q40,"V"),Q$5,0)</f>
      </c>
      <c r="K40" s="17"/>
      <c r="L40" s="17"/>
      <c r="M40" s="17"/>
      <c r="N40" s="17"/>
      <c r="O40" s="17"/>
      <c r="P40" s="17"/>
      <c r="Q40" s="17"/>
      <c r="R40" s="15" t="s">
        <v>19</v>
      </c>
    </row>
    <row r="41">
      <c r="A41" s="6"/>
      <c r="B41" s="8" t="s">
        <v>2007</v>
      </c>
      <c r="C41" s="8"/>
      <c r="D41" s="8" t="s">
        <v>2002</v>
      </c>
      <c r="E41" s="8" t="s">
        <v>610</v>
      </c>
      <c r="F41" s="8" t="s">
        <v>2008</v>
      </c>
      <c r="G41" s="6"/>
      <c r="H41" s="13"/>
      <c r="I41" s="15" t="str">
        <f>=G41*J41</f>
      </c>
      <c r="J41" s="15" t="str">
        <f>IF(EXACT(K41,"V"),K$5,0)+IF(EXACT(L41,"V"),L$5,0)+IF(EXACT(M41,"V"),M$5,0)+IF(EXACT(N41,"V"),N$5,0)+IF(EXACT(O41,"V"),O$5,0)+IF(EXACT(P41,"V"),P$5,0)+IF(EXACT(Q41,"V"),Q$5,0)</f>
      </c>
      <c r="K41" s="17"/>
      <c r="L41" s="17"/>
      <c r="M41" s="17"/>
      <c r="N41" s="17"/>
      <c r="O41" s="17"/>
      <c r="P41" s="17"/>
      <c r="Q41" s="17"/>
      <c r="R41" s="15" t="s">
        <v>19</v>
      </c>
    </row>
    <row r="42">
      <c r="A42" s="6"/>
      <c r="B42" s="8" t="s">
        <v>2009</v>
      </c>
      <c r="C42" s="8"/>
      <c r="D42" s="8" t="s">
        <v>2010</v>
      </c>
      <c r="E42" s="8" t="s">
        <v>605</v>
      </c>
      <c r="F42" s="8" t="s">
        <v>2011</v>
      </c>
      <c r="G42" s="6"/>
      <c r="H42" s="13"/>
      <c r="I42" s="15" t="str">
        <f>=G42*J42</f>
      </c>
      <c r="J42" s="15" t="str">
        <f>IF(EXACT(K42,"V"),K$5,0)+IF(EXACT(L42,"V"),L$5,0)+IF(EXACT(M42,"V"),M$5,0)+IF(EXACT(N42,"V"),N$5,0)+IF(EXACT(O42,"V"),O$5,0)+IF(EXACT(P42,"V"),P$5,0)+IF(EXACT(Q42,"V"),Q$5,0)</f>
      </c>
      <c r="K42" s="17"/>
      <c r="L42" s="17"/>
      <c r="M42" s="17"/>
      <c r="N42" s="17"/>
      <c r="O42" s="17"/>
      <c r="P42" s="17"/>
      <c r="Q42" s="17"/>
      <c r="R42" s="15" t="s">
        <v>19</v>
      </c>
    </row>
    <row r="43">
      <c r="A43" s="6"/>
      <c r="B43" s="8" t="s">
        <v>2012</v>
      </c>
      <c r="C43" s="8"/>
      <c r="D43" s="8" t="s">
        <v>2002</v>
      </c>
      <c r="E43" s="8" t="s">
        <v>614</v>
      </c>
      <c r="F43" s="8" t="s">
        <v>2013</v>
      </c>
      <c r="G43" s="6"/>
      <c r="H43" s="13"/>
      <c r="I43" s="15" t="str">
        <f>=G43*J43</f>
      </c>
      <c r="J43" s="15" t="str">
        <f>IF(EXACT(K43,"V"),K$5,0)+IF(EXACT(L43,"V"),L$5,0)+IF(EXACT(M43,"V"),M$5,0)+IF(EXACT(N43,"V"),N$5,0)+IF(EXACT(O43,"V"),O$5,0)+IF(EXACT(P43,"V"),P$5,0)+IF(EXACT(Q43,"V"),Q$5,0)</f>
      </c>
      <c r="K43" s="17"/>
      <c r="L43" s="17"/>
      <c r="M43" s="17"/>
      <c r="N43" s="17"/>
      <c r="O43" s="17"/>
      <c r="P43" s="17"/>
      <c r="Q43" s="17"/>
      <c r="R43" s="15" t="s">
        <v>19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Gaven Huang (黃嘉文)</cp:lastModifiedBy>
  <dcterms:created xsi:type="dcterms:W3CDTF">2026-07-22T07:47:01Z</dcterms:created>
  <dcterms:modified xsi:type="dcterms:W3CDTF">2026-08-06T04:41:35Z</dcterms:modified>
</cp:coreProperties>
</file>